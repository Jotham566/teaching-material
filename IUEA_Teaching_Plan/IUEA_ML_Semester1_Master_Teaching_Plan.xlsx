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Calendar" sheetId="2" state="visible" r:id="rId2"/>
    <sheet xmlns:r="http://schemas.openxmlformats.org/officeDocument/2006/relationships" name="Master Plan (Shared Core)" sheetId="3" state="visible" r:id="rId3"/>
    <sheet xmlns:r="http://schemas.openxmlformats.org/officeDocument/2006/relationships" name="Cohort A" sheetId="4" state="visible" r:id="rId4"/>
    <sheet xmlns:r="http://schemas.openxmlformats.org/officeDocument/2006/relationships" name="Cohort B" sheetId="5" state="visible" r:id="rId5"/>
    <sheet xmlns:r="http://schemas.openxmlformats.org/officeDocument/2006/relationships" name="Cohort C" sheetId="6" state="visible" r:id="rId6"/>
    <sheet xmlns:r="http://schemas.openxmlformats.org/officeDocument/2006/relationships" name="Shared vs Divergent" sheetId="7" state="visible" r:id="rId7"/>
    <sheet xmlns:r="http://schemas.openxmlformats.org/officeDocument/2006/relationships" name="Assessment" sheetId="8" state="visible" r:id="rId8"/>
    <sheet xmlns:r="http://schemas.openxmlformats.org/officeDocument/2006/relationships" name="Rubrics" sheetId="9" state="visible" r:id="rId9"/>
    <sheet xmlns:r="http://schemas.openxmlformats.org/officeDocument/2006/relationships" name="Tools Rollout" sheetId="10" state="visible" r:id="rId10"/>
    <sheet xmlns:r="http://schemas.openxmlformats.org/officeDocument/2006/relationships" name="Dataset Register" sheetId="11" state="visible" r:id="rId11"/>
    <sheet xmlns:r="http://schemas.openxmlformats.org/officeDocument/2006/relationships" name="Assessment Tech Stack" sheetId="12" state="visible" r:id="rId12"/>
    <sheet xmlns:r="http://schemas.openxmlformats.org/officeDocument/2006/relationships" name="Marking Load" sheetId="13" state="visible" r:id="rId13"/>
    <sheet xmlns:r="http://schemas.openxmlformats.org/officeDocument/2006/relationships" name="Risk Register" sheetId="14" state="visible" r:id="rId14"/>
  </sheets>
  <definedNames>
    <definedName name="_xlnm._FilterDatabase" localSheetId="2" hidden="1">'Master Plan (Shared Core)'!$A$4:$O$19</definedName>
    <definedName name="_xlnm._FilterDatabase" localSheetId="3" hidden="1">'Cohort A'!$A$4:$V$19</definedName>
    <definedName name="_xlnm._FilterDatabase" localSheetId="4" hidden="1">'Cohort B'!$A$4:$V$19</definedName>
    <definedName name="_xlnm._FilterDatabase" localSheetId="5" hidden="1">'Cohort C'!$A$4:$V$19</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2E5C8A"/>
      <sz val="11"/>
    </font>
    <font>
      <name val="Arial"/>
      <charset val="1"/>
      <family val="0"/>
      <b val="1"/>
      <color rgb="FFFFFFFF"/>
      <sz val="12"/>
    </font>
    <font>
      <name val="Arial"/>
      <charset val="1"/>
      <family val="0"/>
      <b val="1"/>
      <sz val="9"/>
    </font>
    <font>
      <name val="Arial"/>
      <charset val="1"/>
      <family val="0"/>
      <sz val="9"/>
    </font>
    <font>
      <name val="Arial"/>
      <charset val="1"/>
      <family val="0"/>
      <b val="1"/>
      <color rgb="FFFFFFFF"/>
      <sz val="10"/>
    </font>
    <font>
      <name val="Arial"/>
      <charset val="1"/>
      <family val="0"/>
      <i val="1"/>
      <color rgb="FF9C4500"/>
      <sz val="9"/>
    </font>
    <font>
      <name val="Arial"/>
      <charset val="1"/>
      <family val="0"/>
      <i val="1"/>
      <sz val="9"/>
    </font>
  </fonts>
  <fills count="9">
    <fill>
      <patternFill/>
    </fill>
    <fill>
      <patternFill patternType="gray125"/>
    </fill>
    <fill>
      <patternFill patternType="solid">
        <fgColor rgb="FF2E5C8A"/>
        <bgColor rgb="FF2E75B6"/>
      </patternFill>
    </fill>
    <fill>
      <patternFill patternType="solid">
        <fgColor rgb="FF1F3864"/>
        <bgColor rgb="FF333333"/>
      </patternFill>
    </fill>
    <fill>
      <patternFill patternType="solid">
        <fgColor rgb="FFE2EFDA"/>
        <bgColor rgb="FFD9E2F3"/>
      </patternFill>
    </fill>
    <fill>
      <patternFill patternType="solid">
        <fgColor rgb="FFFFF2CC"/>
        <bgColor rgb="FFFCE4E4"/>
      </patternFill>
    </fill>
    <fill>
      <patternFill patternType="solid">
        <fgColor rgb="FFF2F5FB"/>
        <bgColor rgb="FFFFFFFF"/>
      </patternFill>
    </fill>
    <fill>
      <patternFill patternType="solid">
        <fgColor rgb="FFFCE4E4"/>
        <bgColor rgb="FFFFF2CC"/>
      </patternFill>
    </fill>
    <fill>
      <patternFill patternType="solid">
        <fgColor rgb="FFD9E2F3"/>
        <bgColor rgb="FFE2EFDA"/>
      </patternFill>
    </fill>
  </fills>
  <borders count="2">
    <border>
      <left/>
      <right/>
      <top/>
      <bottom/>
      <diagonal/>
    </border>
    <border>
      <left style="thin">
        <color rgb="FFB4C6E7"/>
      </left>
      <right style="thin">
        <color rgb="FFB4C6E7"/>
      </right>
      <top style="thin">
        <color rgb="FFB4C6E7"/>
      </top>
      <bottom style="thin">
        <color rgb="FFB4C6E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3" borderId="1" applyAlignment="1" pivotButton="0" quotePrefix="0" xfId="0">
      <alignment horizontal="center" vertical="center" wrapText="1"/>
    </xf>
    <xf numFmtId="0" fontId="7" fillId="4" borderId="1" applyAlignment="1" pivotButton="0" quotePrefix="0" xfId="0">
      <alignment horizontal="center" vertical="top" wrapText="1"/>
    </xf>
    <xf numFmtId="0" fontId="8" fillId="4" borderId="1" applyAlignment="1" pivotButton="0" quotePrefix="0" xfId="0">
      <alignment horizontal="general" vertical="top" wrapText="1"/>
    </xf>
    <xf numFmtId="0" fontId="7" fillId="5" borderId="0" applyAlignment="1" pivotButton="0" quotePrefix="0" xfId="0">
      <alignment horizontal="general" vertical="top" wrapText="1"/>
    </xf>
    <xf numFmtId="0" fontId="7" fillId="0" borderId="1" applyAlignment="1" pivotButton="0" quotePrefix="0" xfId="0">
      <alignment horizontal="center" vertical="top" wrapText="1"/>
    </xf>
    <xf numFmtId="0" fontId="8" fillId="0" borderId="1" applyAlignment="1" pivotButton="0" quotePrefix="0" xfId="0">
      <alignment horizontal="general" vertical="top" wrapText="1"/>
    </xf>
    <xf numFmtId="0" fontId="7" fillId="6" borderId="1" applyAlignment="1" pivotButton="0" quotePrefix="0" xfId="0">
      <alignment horizontal="center" vertical="top" wrapText="1"/>
    </xf>
    <xf numFmtId="0" fontId="8" fillId="6" borderId="1"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1" applyAlignment="1" pivotButton="0" quotePrefix="0" xfId="0">
      <alignment horizontal="center" vertical="top" wrapText="1"/>
    </xf>
    <xf numFmtId="0" fontId="8" fillId="5" borderId="1" applyAlignment="1" pivotButton="0" quotePrefix="0" xfId="0">
      <alignment horizontal="general" vertical="top" wrapText="1"/>
    </xf>
    <xf numFmtId="0" fontId="7" fillId="7" borderId="1" applyAlignment="1" pivotButton="0" quotePrefix="0" xfId="0">
      <alignment horizontal="center" vertical="top" wrapText="1"/>
    </xf>
    <xf numFmtId="0" fontId="8" fillId="7" borderId="1" applyAlignment="1" pivotButton="0" quotePrefix="0" xfId="0">
      <alignment horizontal="general" vertical="top" wrapText="1"/>
    </xf>
    <xf numFmtId="0" fontId="7"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7" fillId="8" borderId="0" applyAlignment="1" pivotButton="0" quotePrefix="0" xfId="0">
      <alignment horizontal="general" vertical="top" wrapText="1"/>
    </xf>
    <xf numFmtId="0" fontId="6" fillId="2" borderId="0" applyAlignment="1" pivotButton="0" quotePrefix="0" xfId="0">
      <alignment horizontal="general" vertical="bottom"/>
    </xf>
    <xf numFmtId="9" fontId="8" fillId="0" borderId="1" applyAlignment="1" pivotButton="0" quotePrefix="0" xfId="0">
      <alignment horizontal="center" vertical="top" wrapText="1"/>
    </xf>
    <xf numFmtId="0" fontId="7" fillId="8" borderId="1" applyAlignment="1" pivotButton="0" quotePrefix="0" xfId="0">
      <alignment horizontal="center" vertical="top" wrapText="1"/>
    </xf>
    <xf numFmtId="0" fontId="8" fillId="8" borderId="1" applyAlignment="1" pivotButton="0" quotePrefix="0" xfId="0">
      <alignment horizontal="general" vertical="top" wrapText="1"/>
    </xf>
    <xf numFmtId="9" fontId="7" fillId="8" borderId="1" applyAlignment="1" pivotButton="0" quotePrefix="0" xfId="0">
      <alignment horizontal="center" vertical="top" wrapText="1"/>
    </xf>
    <xf numFmtId="9" fontId="8" fillId="4" borderId="1" applyAlignment="1" pivotButton="0" quotePrefix="0" xfId="0">
      <alignment horizontal="center" vertical="top" wrapText="1"/>
    </xf>
    <xf numFmtId="9" fontId="8" fillId="5" borderId="1" applyAlignment="1" pivotButton="0" quotePrefix="0" xfId="0">
      <alignment horizontal="center" vertical="top" wrapText="1"/>
    </xf>
    <xf numFmtId="9" fontId="8" fillId="8" borderId="1" applyAlignment="1" pivotButton="0" quotePrefix="0" xfId="0">
      <alignment horizontal="center" vertical="top" wrapText="1"/>
    </xf>
    <xf numFmtId="0" fontId="8" fillId="0" borderId="1" applyAlignment="1" pivotButton="0" quotePrefix="0" xfId="0">
      <alignment horizontal="center" vertical="top" wrapText="1"/>
    </xf>
    <xf numFmtId="0" fontId="8" fillId="6" borderId="1" applyAlignment="1" pivotButton="0" quotePrefix="0" xfId="0">
      <alignment horizontal="center" vertical="top" wrapText="1"/>
    </xf>
    <xf numFmtId="0" fontId="8" fillId="4" borderId="1" applyAlignment="1" pivotButton="0" quotePrefix="0" xfId="0">
      <alignment horizontal="center" vertical="top" wrapText="1"/>
    </xf>
    <xf numFmtId="0" fontId="8" fillId="5" borderId="1" applyAlignment="1" pivotButton="0" quotePrefix="0" xfId="0">
      <alignment horizontal="center" vertical="top" wrapText="1"/>
    </xf>
    <xf numFmtId="0" fontId="8" fillId="7"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3" borderId="1" applyAlignment="1" pivotButton="0" quotePrefix="0" xfId="0">
      <alignment horizontal="center" vertical="center" wrapText="1"/>
    </xf>
    <xf numFmtId="0" fontId="7" fillId="4" borderId="1" applyAlignment="1" pivotButton="0" quotePrefix="0" xfId="0">
      <alignment horizontal="center" vertical="top" wrapText="1"/>
    </xf>
    <xf numFmtId="0" fontId="8" fillId="4" borderId="1" applyAlignment="1" pivotButton="0" quotePrefix="0" xfId="0">
      <alignment horizontal="general" vertical="top" wrapText="1"/>
    </xf>
    <xf numFmtId="0" fontId="7" fillId="5" borderId="0" applyAlignment="1" pivotButton="0" quotePrefix="0" xfId="0">
      <alignment horizontal="general" vertical="top" wrapText="1"/>
    </xf>
    <xf numFmtId="0" fontId="7" fillId="0" borderId="1" applyAlignment="1" pivotButton="0" quotePrefix="0" xfId="0">
      <alignment horizontal="center" vertical="top" wrapText="1"/>
    </xf>
    <xf numFmtId="0" fontId="8" fillId="0" borderId="1" applyAlignment="1" pivotButton="0" quotePrefix="0" xfId="0">
      <alignment horizontal="general" vertical="top" wrapText="1"/>
    </xf>
    <xf numFmtId="0" fontId="7" fillId="6" borderId="1" applyAlignment="1" pivotButton="0" quotePrefix="0" xfId="0">
      <alignment horizontal="center" vertical="top" wrapText="1"/>
    </xf>
    <xf numFmtId="0" fontId="8" fillId="6" borderId="1"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1" applyAlignment="1" pivotButton="0" quotePrefix="0" xfId="0">
      <alignment horizontal="center" vertical="top" wrapText="1"/>
    </xf>
    <xf numFmtId="0" fontId="8" fillId="5" borderId="1" applyAlignment="1" pivotButton="0" quotePrefix="0" xfId="0">
      <alignment horizontal="general" vertical="top" wrapText="1"/>
    </xf>
    <xf numFmtId="0" fontId="7" fillId="7" borderId="1" applyAlignment="1" pivotButton="0" quotePrefix="0" xfId="0">
      <alignment horizontal="center" vertical="top" wrapText="1"/>
    </xf>
    <xf numFmtId="0" fontId="8" fillId="7" borderId="1" applyAlignment="1" pivotButton="0" quotePrefix="0" xfId="0">
      <alignment horizontal="general" vertical="top" wrapText="1"/>
    </xf>
    <xf numFmtId="0" fontId="11" fillId="0" borderId="0" applyAlignment="1" pivotButton="0" quotePrefix="0" xfId="0">
      <alignment horizontal="general" vertical="top" wrapText="1"/>
    </xf>
    <xf numFmtId="0" fontId="7" fillId="8" borderId="0" applyAlignment="1" pivotButton="0" quotePrefix="0" xfId="0">
      <alignment horizontal="general" vertical="top" wrapText="1"/>
    </xf>
    <xf numFmtId="0" fontId="6" fillId="2" borderId="0" applyAlignment="1" pivotButton="0" quotePrefix="0" xfId="0">
      <alignment horizontal="general" vertical="bottom"/>
    </xf>
    <xf numFmtId="9" fontId="8" fillId="0" borderId="1" applyAlignment="1" pivotButton="0" quotePrefix="0" xfId="0">
      <alignment horizontal="center" vertical="top" wrapText="1"/>
    </xf>
    <xf numFmtId="0" fontId="7" fillId="8" borderId="1" applyAlignment="1" pivotButton="0" quotePrefix="0" xfId="0">
      <alignment horizontal="center" vertical="top" wrapText="1"/>
    </xf>
    <xf numFmtId="0" fontId="8" fillId="8" borderId="1" applyAlignment="1" pivotButton="0" quotePrefix="0" xfId="0">
      <alignment horizontal="general" vertical="top" wrapText="1"/>
    </xf>
    <xf numFmtId="9" fontId="7" fillId="8" borderId="1" applyAlignment="1" pivotButton="0" quotePrefix="0" xfId="0">
      <alignment horizontal="center" vertical="top" wrapText="1"/>
    </xf>
    <xf numFmtId="9" fontId="8" fillId="4" borderId="1" applyAlignment="1" pivotButton="0" quotePrefix="0" xfId="0">
      <alignment horizontal="center" vertical="top" wrapText="1"/>
    </xf>
    <xf numFmtId="9" fontId="8" fillId="5" borderId="1" applyAlignment="1" pivotButton="0" quotePrefix="0" xfId="0">
      <alignment horizontal="center" vertical="top" wrapText="1"/>
    </xf>
    <xf numFmtId="9" fontId="8" fillId="8" borderId="1" applyAlignment="1" pivotButton="0" quotePrefix="0" xfId="0">
      <alignment horizontal="center" vertical="top" wrapText="1"/>
    </xf>
    <xf numFmtId="0" fontId="8" fillId="0" borderId="1" applyAlignment="1" pivotButton="0" quotePrefix="0" xfId="0">
      <alignment horizontal="center" vertical="top" wrapText="1"/>
    </xf>
    <xf numFmtId="0" fontId="8" fillId="6" borderId="1" applyAlignment="1" pivotButton="0" quotePrefix="0" xfId="0">
      <alignment horizontal="center" vertical="top" wrapText="1"/>
    </xf>
    <xf numFmtId="0" fontId="8" fillId="4" borderId="1" applyAlignment="1" pivotButton="0" quotePrefix="0" xfId="0">
      <alignment horizontal="center" vertical="top" wrapText="1"/>
    </xf>
    <xf numFmtId="0" fontId="8" fillId="5" borderId="1" applyAlignment="1" pivotButton="0" quotePrefix="0" xfId="0">
      <alignment horizontal="center" vertical="top" wrapText="1"/>
    </xf>
    <xf numFmtId="0" fontId="8" fillId="7"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fgColor rgb="FFF2F5FB"/>
          <bgColor rgb="FF000000"/>
        </patternFill>
      </fill>
    </dxf>
    <dxf>
      <fill>
        <patternFill patternType="solid">
          <fgColor rgb="FFFCE4E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7030A0"/>
      <rgbColor rgb="FFFFF2CC"/>
      <rgbColor rgb="FFF2F5FB"/>
      <rgbColor rgb="FF660066"/>
      <rgbColor rgb="FFFF8080"/>
      <rgbColor rgb="FF2E75B6"/>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CE4E4"/>
      <rgbColor rgb="FF4472C4"/>
      <rgbColor rgb="FF33CCCC"/>
      <rgbColor rgb="FF99CC00"/>
      <rgbColor rgb="FFFFCC00"/>
      <rgbColor rgb="FFBF8F00"/>
      <rgbColor rgb="FFED7D31"/>
      <rgbColor rgb="FF666699"/>
      <rgbColor rgb="FF70AD47"/>
      <rgbColor rgb="FF1F3864"/>
      <rgbColor rgb="FF00B050"/>
      <rgbColor rgb="FF003300"/>
      <rgbColor rgb="FF333300"/>
      <rgbColor rgb="FF9C4500"/>
      <rgbColor rgb="FFC55A11"/>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3864"/>
    <outlinePr summaryBelow="1" summaryRight="1"/>
    <pageSetUpPr fitToPage="0"/>
  </sheetPr>
  <dimension ref="A1:F45"/>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6" customWidth="1" style="35" min="1" max="1"/>
    <col width="30" customWidth="1" style="35" min="2" max="2"/>
    <col width="24" customWidth="1" style="35" min="3" max="3"/>
    <col width="42" customWidth="1" style="35" min="4" max="4"/>
    <col width="24" customWidth="1" style="35" min="5" max="5"/>
    <col width="34" customWidth="1" style="35" min="6" max="6"/>
  </cols>
  <sheetData>
    <row r="1" ht="25.5" customHeight="1" s="36">
      <c r="A1" s="37" t="inlineStr">
        <is>
          <t>IUEA Year 3 Engineering — Machine Learning Programme</t>
        </is>
      </c>
    </row>
    <row r="2" ht="18" customHeight="1" s="36">
      <c r="A2" s="38" t="inlineStr">
        <is>
          <t>Semester 1 Master Teaching Plan · 7 September – 18 December 2026 · 15 study weeks · 3 contact hours per cohort per week</t>
        </is>
      </c>
    </row>
    <row r="3"/>
    <row r="4" ht="19.5" customHeight="1" s="36">
      <c r="A4" s="39" t="inlineStr">
        <is>
          <t>WHAT THIS WORKBOOK IS</t>
        </is>
      </c>
    </row>
    <row r="5" ht="43.5" customHeight="1" s="36">
      <c r="A5" s="40" t="inlineStr">
        <is>
          <t>Purpose</t>
        </is>
      </c>
      <c r="B5" s="41" t="inlineStr">
        <is>
          <t>The lecturer-ready master plan for Semester 1. It fixes the calendar, the week-by-week architecture, the shared core and the cohort-specific overlay, the assessment design and the rubrics. It is the layer that must be agreed BEFORE lesson plans, slide decks, notebooks and labs are produced.</t>
        </is>
      </c>
    </row>
    <row r="6" ht="43.5" customHeight="1" s="36">
      <c r="A6" s="40" t="inlineStr">
        <is>
          <t>Design rule</t>
        </is>
      </c>
      <c r="B6" s="41" t="inlineStr">
        <is>
          <t>Approximately 70% of each session is a shared machine learning core, taught identically to all three cohorts, and approximately 30% is a discipline-specific overlay of examples, datasets and projects. Prepare once, re-skin three times. The 'Shared vs Divergent' sheet tells you exactly which is which, week by week.</t>
        </is>
      </c>
    </row>
    <row r="7" ht="36" customHeight="1" s="36">
      <c r="A7" s="40" t="inlineStr">
        <is>
          <t>Pedagogical rule</t>
        </is>
      </c>
      <c r="B7" s="41" t="inlineStr">
        <is>
          <t>The problem creates the need for the concept. No week opens with a definition. Every tool is introduced by the problem it solves. Students are left to struggle productively in at least one segment of every session.</t>
        </is>
      </c>
    </row>
    <row r="8" ht="36" customHeight="1" s="36">
      <c r="A8" s="40" t="inlineStr">
        <is>
          <t>Not yet built</t>
        </is>
      </c>
      <c r="B8" s="41" t="inlineStr">
        <is>
          <t>Lesson plans, slide decks, Jupyter notebooks, the course-authored teaching datasets, the test variants and the Semester 2 plan. The 'Dataset Register' marks every course-authored artefact as TO BE BUILT with the week it is needed.</t>
        </is>
      </c>
    </row>
    <row r="9"/>
    <row r="10" ht="19.5" customHeight="1" s="36">
      <c r="A10" s="39" t="inlineStr">
        <is>
          <t>THE CONFIRMED TIMETABLE</t>
        </is>
      </c>
    </row>
    <row r="11" ht="25.5" customHeight="1" s="36">
      <c r="A11" s="40" t="inlineStr">
        <is>
          <t>Status</t>
        </is>
      </c>
      <c r="B11" s="41" t="inlineStr">
        <is>
          <t>CONFIRMED by the lecturer, September 2026. Every date, room and time in this workbook now follows from this table. There is nothing left to fill in.</t>
        </is>
      </c>
    </row>
    <row r="12" ht="31.5" customHeight="1" s="36">
      <c r="A12" s="42" t="inlineStr">
        <is>
          <t>Course code</t>
        </is>
      </c>
      <c r="B12" s="42" t="inlineStr">
        <is>
          <t>Day &amp; time</t>
        </is>
      </c>
      <c r="C12" s="42" t="inlineStr">
        <is>
          <t>Room</t>
        </is>
      </c>
      <c r="D12" s="42" t="inlineStr">
        <is>
          <t>Cohort &amp; programmes</t>
        </is>
      </c>
      <c r="E12" s="42" t="inlineStr">
        <is>
          <t>Approx. size</t>
        </is>
      </c>
      <c r="F12" s="42" t="inlineStr">
        <is>
          <t>Course title</t>
        </is>
      </c>
    </row>
    <row r="13" ht="30" customHeight="1" s="36">
      <c r="A13" s="43" t="inlineStr">
        <is>
          <t>CML3112</t>
        </is>
      </c>
      <c r="B13" s="44" t="inlineStr">
        <is>
          <t>Tuesday 11:00-14:00</t>
        </is>
      </c>
      <c r="C13" s="44" t="inlineStr">
        <is>
          <t>Room 106</t>
        </is>
      </c>
      <c r="D13" s="44" t="inlineStr">
        <is>
          <t>Cohort A — Civil Engineering + Architecture</t>
        </is>
      </c>
      <c r="E13" s="44" t="inlineStr">
        <is>
          <t>~100 students (est. 22 project teams of 4-5)</t>
        </is>
      </c>
      <c r="F13" s="44" t="inlineStr">
        <is>
          <t>Introduction to Machine Learning in Design &amp; Infrastructure</t>
        </is>
      </c>
    </row>
    <row r="14" ht="30" customHeight="1" s="36">
      <c r="A14" s="43" t="inlineStr">
        <is>
          <t>CML3113</t>
        </is>
      </c>
      <c r="B14" s="44" t="inlineStr">
        <is>
          <t>Friday 08:00-11:00</t>
        </is>
      </c>
      <c r="C14" s="44" t="inlineStr">
        <is>
          <t>Room 105</t>
        </is>
      </c>
      <c r="D14" s="44" t="inlineStr">
        <is>
          <t>Cohort B — Petroleum Engineering + Mining Engineering</t>
        </is>
      </c>
      <c r="E14" s="44" t="inlineStr">
        <is>
          <t>~40-50 students (est. 10 project teams of 4-5)</t>
        </is>
      </c>
      <c r="F14" s="44" t="inlineStr">
        <is>
          <t>Introduction to Machine Learning in Mining &amp; Petroleum Engineering</t>
        </is>
      </c>
    </row>
    <row r="15" ht="30" customHeight="1" s="36">
      <c r="A15" s="43" t="inlineStr">
        <is>
          <t>CML3111</t>
        </is>
      </c>
      <c r="B15" s="44" t="inlineStr">
        <is>
          <t>Friday 11:00-14:00</t>
        </is>
      </c>
      <c r="C15" s="44" t="inlineStr">
        <is>
          <t>Room 115</t>
        </is>
      </c>
      <c r="D15" s="44" t="inlineStr">
        <is>
          <t>Cohort C — Communications + Electrical + Mechatronics and Robotics Engineering</t>
        </is>
      </c>
      <c r="E15" s="44" t="inlineStr">
        <is>
          <t>~50 students (est. 11 project teams of 4-5)</t>
        </is>
      </c>
      <c r="F15" s="44" t="inlineStr">
        <is>
          <t>Introduction to Machine Learning in Engineering</t>
        </is>
      </c>
    </row>
    <row r="16"/>
    <row r="17" ht="61.5" customHeight="1" s="36">
      <c r="A17" s="45" t="inlineStr">
        <is>
          <t>THREE CONSEQUENCES OF THIS TIMETABLE, each of which changes how the semester runs.  (1) Friday is a SIX-HOUR back-to-back day, 08:00–14:00, with a room change and no gap — see Risk R16.  (2) The Week 5 Independence Day holiday now falls only on the two FRIDAY cohorts. CML3112 teaches Week 5 normally on Tue 06 Oct, so record that session and issue it to the Friday cohorts — see Risk R1.  (3) The largest cohort (~100) is in Room 106, and because the course runs in Google Colab, that room's WIFI capacity is now the biggest single delivery risk — see Risk R17.</t>
        </is>
      </c>
    </row>
    <row r="18"/>
    <row r="19" ht="19.5" customHeight="1" s="36">
      <c r="A19" s="39" t="inlineStr">
        <is>
          <t>THE THREE COHORTS</t>
        </is>
      </c>
    </row>
    <row r="20" ht="31.5" customHeight="1" s="36">
      <c r="A20" s="42" t="inlineStr">
        <is>
          <t>Cohort</t>
        </is>
      </c>
      <c r="B20" s="42" t="inlineStr">
        <is>
          <t>Programmes</t>
        </is>
      </c>
      <c r="C20" s="42" t="inlineStr">
        <is>
          <t>Approx. size</t>
        </is>
      </c>
      <c r="D20" s="42" t="inlineStr">
        <is>
          <t>Course title</t>
        </is>
      </c>
      <c r="E20" s="42" t="inlineStr">
        <is>
          <t>Course code</t>
        </is>
      </c>
      <c r="F20" s="42" t="inlineStr">
        <is>
          <t>Anchor domain</t>
        </is>
      </c>
    </row>
    <row r="21" ht="31.5" customHeight="1" s="36">
      <c r="A21" s="46" t="inlineStr">
        <is>
          <t>Cohort A</t>
        </is>
      </c>
      <c r="B21" s="47" t="inlineStr">
        <is>
          <t>Civil Engineering + Architecture</t>
        </is>
      </c>
      <c r="C21" s="47" t="inlineStr">
        <is>
          <t>~100 students (est. 22 project teams of 4-5)</t>
        </is>
      </c>
      <c r="D21" s="47" t="inlineStr">
        <is>
          <t>Introduction to Machine Learning in Design &amp; Infrastructure</t>
        </is>
      </c>
      <c r="E21" s="47" t="inlineStr">
        <is>
          <t>CML3112</t>
        </is>
      </c>
      <c r="F21" s="47" t="inlineStr">
        <is>
          <t>infrastructure, construction, structures, materials, building performance and design</t>
        </is>
      </c>
    </row>
    <row r="22" ht="31.5" customHeight="1" s="36">
      <c r="A22" s="48" t="inlineStr">
        <is>
          <t>Cohort B</t>
        </is>
      </c>
      <c r="B22" s="49" t="inlineStr">
        <is>
          <t>Petroleum Engineering + Mining Engineering</t>
        </is>
      </c>
      <c r="C22" s="49" t="inlineStr">
        <is>
          <t>~40-50 students (est. 10 project teams of 4-5)</t>
        </is>
      </c>
      <c r="D22" s="49" t="inlineStr">
        <is>
          <t>Introduction to Machine Learning in Mining &amp; Petroleum Engineering</t>
        </is>
      </c>
      <c r="E22" s="49" t="inlineStr">
        <is>
          <t>CML3113</t>
        </is>
      </c>
      <c r="F22" s="49" t="inlineStr">
        <is>
          <t>geoscience data, exploration, ore and reservoir characterisation, production and equipment</t>
        </is>
      </c>
    </row>
    <row r="23" ht="31.5" customHeight="1" s="36">
      <c r="A23" s="46" t="inlineStr">
        <is>
          <t>Cohort C</t>
        </is>
      </c>
      <c r="B23" s="47" t="inlineStr">
        <is>
          <t>Communications + Electrical + Mechatronics and Robotics Engineering</t>
        </is>
      </c>
      <c r="C23" s="47" t="inlineStr">
        <is>
          <t>~50 students (est. 11 project teams of 4-5)</t>
        </is>
      </c>
      <c r="D23" s="47" t="inlineStr">
        <is>
          <t>Introduction to Machine Learning in Engineering</t>
        </is>
      </c>
      <c r="E23" s="47" t="inlineStr">
        <is>
          <t>CML3111</t>
        </is>
      </c>
      <c r="F23" s="47" t="inlineStr">
        <is>
          <t>sensors, signals, energy systems, fault detection, machines and robotics</t>
        </is>
      </c>
    </row>
    <row r="24"/>
    <row r="25" ht="19.5" customHeight="1" s="36">
      <c r="A25" s="39" t="inlineStr">
        <is>
          <t>ACTION 2 — ESCALATE THESE THREE ITEMS TO THE FACULTY IN WEEK 1</t>
        </is>
      </c>
    </row>
    <row r="26" ht="39.75" customHeight="1" s="36">
      <c r="A26" s="40" t="inlineStr">
        <is>
          <t>Test capacity</t>
        </is>
      </c>
      <c r="B26" s="41" t="inlineStr">
        <is>
          <t>Cohort A (~100) almost certainly cannot sit the Week 7 and Week 14 practical tests in one lab sitting. A written capacity request, or approval for two sittings, is needed by Week 5. See Risk R2.</t>
        </is>
      </c>
    </row>
    <row r="27" ht="39.75" customHeight="1" s="36">
      <c r="A27" s="40" t="inlineStr">
        <is>
          <t>Week 5 holiday</t>
        </is>
      </c>
      <c r="B27" s="41" t="inlineStr">
        <is>
          <t>Friday 9 October 2026 is Uganda Independence Day and falls in Week 5. Both Friday cohorts lose the most important pandas session of the semester. Either a make-up slot is approved or the asynchronous mitigation is published by 7 October. Decide in Week 2. See Risk R1.</t>
        </is>
      </c>
    </row>
    <row r="28" ht="39.75" customHeight="1" s="36">
      <c r="A28" s="40" t="inlineStr">
        <is>
          <t>Marking support</t>
        </is>
      </c>
      <c r="B28" s="41" t="inlineStr">
        <is>
          <t>Automatic grading is essential for one lecturer. The workload figures are planning assumptions, not measured savings. Pilot complete packets, record inference time and unresolved cases, and confirm operational capacity before releasing each assessment. See 'Marking Load' and Risk R8.</t>
        </is>
      </c>
    </row>
    <row r="29" ht="39.75" customHeight="1" s="36">
      <c r="A29" s="40" t="inlineStr">
        <is>
          <t>Assessment records</t>
        </is>
      </c>
      <c r="B29" s="41" t="inlineStr">
        <is>
          <t>There is no institutional LMS, so quiz responses and the gradebook will sit in a personal Google account. Get a written Faculty position on ownership and data protection, and export everything to the course share as CSV at the end of every block. See Risk R15.</t>
        </is>
      </c>
    </row>
    <row r="30" ht="39.75" customHeight="1" s="36">
      <c r="A30" s="40" t="inlineStr">
        <is>
          <t>Assessment policy</t>
        </is>
      </c>
      <c r="B30" s="41" t="inlineStr">
        <is>
          <t>The weightings on the 'Assessment' sheet are a proposal. If IUEA mandates a coursework / final split, the alternative 40/60 mapping on that same sheet satisfies it without changing any teaching. Confirm which model applies before Week 5, because Test 1 falls in Week 7.</t>
        </is>
      </c>
    </row>
    <row r="31"/>
    <row r="32" ht="19.5" customHeight="1" s="36">
      <c r="A32" s="39" t="inlineStr">
        <is>
          <t>HOW TO NAVIGATE THIS WORKBOOK</t>
        </is>
      </c>
    </row>
    <row r="33" ht="25.5" customHeight="1" s="36">
      <c r="A33" s="40" t="inlineStr">
        <is>
          <t>Calendar</t>
        </is>
      </c>
      <c r="B33" s="41" t="inlineStr">
        <is>
          <t>All 15 weeks with real dates for both the Tuesday and the Friday slots, teaching weeks and assessment weeks marked, and the public holiday flagged.</t>
        </is>
      </c>
    </row>
    <row r="34" ht="25.5" customHeight="1" s="36">
      <c r="A34" s="40" t="inlineStr">
        <is>
          <t>Master Plan (Shared Core)</t>
        </is>
      </c>
      <c r="B34" s="41" t="inlineStr">
        <is>
          <t>The 70% core. One row per week. This is what you prepare once.</t>
        </is>
      </c>
    </row>
    <row r="35" ht="25.5" customHeight="1" s="36">
      <c r="A35" s="40" t="inlineStr">
        <is>
          <t>Cohort A / B / C</t>
        </is>
      </c>
      <c r="B35" s="41" t="inlineStr">
        <is>
          <t>The full 20-column plan per cohort, with the discipline overlay merged in. These are the sheets to print or hand to the department.</t>
        </is>
      </c>
    </row>
    <row r="36" ht="25.5" customHeight="1" s="36">
      <c r="A36" s="40" t="inlineStr">
        <is>
          <t>Shared vs Divergent</t>
        </is>
      </c>
      <c r="B36" s="41" t="inlineStr">
        <is>
          <t>Week by week: what is identical across cohorts and what must be re-skinned. Use this to plan your own preparation time.</t>
        </is>
      </c>
    </row>
    <row r="37" ht="25.5" customHeight="1" s="36">
      <c r="A37" s="40" t="inlineStr">
        <is>
          <t>Assessment</t>
        </is>
      </c>
      <c r="B37" s="41" t="inlineStr">
        <is>
          <t>Component weights, dates, individual versus team, machine-marked share, and the alternative 40/60 continuous-assessment model.</t>
        </is>
      </c>
    </row>
    <row r="38" ht="25.5" customHeight="1" s="36">
      <c r="A38" s="40" t="inlineStr">
        <is>
          <t>Assessment Tech Stack</t>
        </is>
      </c>
      <c r="B38" s="41" t="inlineStr">
        <is>
          <t>The five free layers that make continuous assessment possible for one lecturer, with each tool's verified limits. Working code is in the assessment-tools folder.</t>
        </is>
      </c>
    </row>
    <row r="39" ht="25.5" customHeight="1" s="36">
      <c r="A39" s="40" t="inlineStr">
        <is>
          <t>Marking Load</t>
        </is>
      </c>
      <c r="B39" s="41" t="inlineStr">
        <is>
          <t>The before-and-after arithmetic: ~246 hours fully human against ~120 with the stack.</t>
        </is>
      </c>
    </row>
    <row r="40" ht="25.5" customHeight="1" s="36">
      <c r="A40" s="40" t="inlineStr">
        <is>
          <t>Rubrics</t>
        </is>
      </c>
      <c r="B40" s="41" t="inlineStr">
        <is>
          <t>All six rubrics, with criterion weights that sum to 100 by formula.</t>
        </is>
      </c>
    </row>
    <row r="41" ht="25.5" customHeight="1" s="36">
      <c r="A41" s="40" t="inlineStr">
        <is>
          <t>Tools Rollout</t>
        </is>
      </c>
      <c r="B41" s="41" t="inlineStr">
        <is>
          <t>Every tool, the week it appears, and the problem it solves. The AI-assistant ladder is the last row.</t>
        </is>
      </c>
    </row>
    <row r="42" ht="25.5" customHeight="1" s="36">
      <c r="A42" s="40" t="inlineStr">
        <is>
          <t>Dataset Register</t>
        </is>
      </c>
      <c r="B42" s="41" t="inlineStr">
        <is>
          <t>Every dataset with host, licence, size, task, weeks used and verification status.</t>
        </is>
      </c>
    </row>
    <row r="43" ht="25.5" customHeight="1" s="36">
      <c r="A43" s="40" t="inlineStr">
        <is>
          <t>Risk Register</t>
        </is>
      </c>
      <c r="B43" s="41" t="inlineStr">
        <is>
          <t>Twelve risks with owners and mitigations. R1, R2 and R3 need action in the first fortnight.</t>
        </is>
      </c>
    </row>
    <row r="44"/>
    <row r="45" ht="45.75" customHeight="1" s="36">
      <c r="A45" s="50" t="inlineStr">
        <is>
          <t>Dataset verification note: datasets marked VERIFIED were confirmed to exist and to be openly licensed on 1 September 2026. Those marked VERIFY BEFORE USE are named from the lecturer's knowledge of the repositories but were not confirmed. Re-check every link in the week before you use it, and stage every dataset on the local share rather than fetching it live in class.</t>
        </is>
      </c>
    </row>
  </sheetData>
  <mergeCells count="30">
    <mergeCell ref="B7:F7"/>
    <mergeCell ref="B27:F27"/>
    <mergeCell ref="A2:F2"/>
    <mergeCell ref="B43:F43"/>
    <mergeCell ref="B39:F39"/>
    <mergeCell ref="B11:F11"/>
    <mergeCell ref="B42:F42"/>
    <mergeCell ref="A32:F32"/>
    <mergeCell ref="A17:F17"/>
    <mergeCell ref="A4:F4"/>
    <mergeCell ref="B8:F8"/>
    <mergeCell ref="B29:F29"/>
    <mergeCell ref="A10:F10"/>
    <mergeCell ref="B38:F38"/>
    <mergeCell ref="A19:F19"/>
    <mergeCell ref="B34:F34"/>
    <mergeCell ref="B28:F28"/>
    <mergeCell ref="B37:F37"/>
    <mergeCell ref="B40:F40"/>
    <mergeCell ref="B30:F30"/>
    <mergeCell ref="B6:F6"/>
    <mergeCell ref="B33:F33"/>
    <mergeCell ref="A1:F1"/>
    <mergeCell ref="A45:F45"/>
    <mergeCell ref="B5:F5"/>
    <mergeCell ref="B36:F36"/>
    <mergeCell ref="B26:F26"/>
    <mergeCell ref="B41:F41"/>
    <mergeCell ref="A25:F25"/>
    <mergeCell ref="B35:F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5C8A"/>
    <outlinePr summaryBelow="1" summaryRight="1"/>
    <pageSetUpPr fitToPage="0"/>
  </sheetPr>
  <dimension ref="A1:H2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35" min="1" max="1"/>
    <col width="30" customWidth="1" style="35" min="2" max="2"/>
    <col width="18" customWidth="1" style="35" min="3" max="3"/>
    <col width="24" customWidth="1" style="35" min="4" max="6"/>
    <col width="17" customWidth="1" style="35" min="7" max="7"/>
    <col width="58" customWidth="1" style="35" min="8" max="8"/>
  </cols>
  <sheetData>
    <row r="1" ht="25.5" customHeight="1" s="36">
      <c r="A1" s="37" t="inlineStr">
        <is>
          <t>Semester 1 Calendar</t>
        </is>
      </c>
    </row>
    <row r="2" ht="18" customHeight="1" s="36">
      <c r="A2" s="38" t="inlineStr">
        <is>
          <t>15 study weeks from Monday 7 September 2026. Each cohort meets once per week for 3 hours.</t>
        </is>
      </c>
    </row>
    <row r="3"/>
    <row r="4" ht="31.5" customHeight="1" s="36">
      <c r="A4" s="42" t="inlineStr">
        <is>
          <t>Week</t>
        </is>
      </c>
      <c r="B4" s="42" t="inlineStr">
        <is>
          <t>Block / Phase</t>
        </is>
      </c>
      <c r="C4" s="42" t="inlineStr">
        <is>
          <t>Week commencing</t>
        </is>
      </c>
      <c r="D4" s="42" t="inlineStr">
        <is>
          <t>CML3112 · Tue 11:00–14:00 · Rm 106</t>
        </is>
      </c>
      <c r="E4" s="42" t="inlineStr">
        <is>
          <t>CML3113 · Fri 08:00–11:00 · Rm 105</t>
        </is>
      </c>
      <c r="F4" s="42" t="inlineStr">
        <is>
          <t>CML3111 · Fri 11:00–14:00 · Rm 115</t>
        </is>
      </c>
      <c r="G4" s="42" t="inlineStr">
        <is>
          <t>Week type</t>
        </is>
      </c>
      <c r="H4" s="42" t="inlineStr">
        <is>
          <t>Notes and actions</t>
        </is>
      </c>
    </row>
    <row r="5" ht="25.5" customHeight="1" s="36">
      <c r="A5" s="46" t="n">
        <v>1</v>
      </c>
      <c r="B5" s="47" t="inlineStr">
        <is>
          <t>Block 1 - Orientation &amp; Computational Thinking</t>
        </is>
      </c>
      <c r="C5" s="47" t="inlineStr">
        <is>
          <t>Mon 07 Sep 2026</t>
        </is>
      </c>
      <c r="D5" s="47" t="inlineStr">
        <is>
          <t>Tue 08 Sep 2026</t>
        </is>
      </c>
      <c r="E5" s="47" t="inlineStr">
        <is>
          <t>Fri 11 Sep 2026</t>
        </is>
      </c>
      <c r="F5" s="47" t="inlineStr">
        <is>
          <t>Fri 11 Sep 2026</t>
        </is>
      </c>
      <c r="G5" s="47" t="inlineStr">
        <is>
          <t>Teaching</t>
        </is>
      </c>
      <c r="H5" s="47" t="n"/>
    </row>
    <row r="6" ht="25.5" customHeight="1" s="36">
      <c r="A6" s="46" t="n">
        <v>2</v>
      </c>
      <c r="B6" s="47" t="inlineStr">
        <is>
          <t>Block 1 - Orientation &amp; Computational Thinking</t>
        </is>
      </c>
      <c r="C6" s="47" t="inlineStr">
        <is>
          <t>Mon 14 Sep 2026</t>
        </is>
      </c>
      <c r="D6" s="47" t="inlineStr">
        <is>
          <t>Tue 15 Sep 2026</t>
        </is>
      </c>
      <c r="E6" s="47" t="inlineStr">
        <is>
          <t>Fri 18 Sep 2026</t>
        </is>
      </c>
      <c r="F6" s="47" t="inlineStr">
        <is>
          <t>Fri 18 Sep 2026</t>
        </is>
      </c>
      <c r="G6" s="47" t="inlineStr">
        <is>
          <t>Teaching</t>
        </is>
      </c>
      <c r="H6" s="47" t="n"/>
    </row>
    <row r="7" ht="25.5" customHeight="1" s="36">
      <c r="A7" s="46" t="n">
        <v>3</v>
      </c>
      <c r="B7" s="47" t="inlineStr">
        <is>
          <t>Block 1 - Orientation &amp; Computational Thinking</t>
        </is>
      </c>
      <c r="C7" s="47" t="inlineStr">
        <is>
          <t>Mon 21 Sep 2026</t>
        </is>
      </c>
      <c r="D7" s="47" t="inlineStr">
        <is>
          <t>Tue 22 Sep 2026</t>
        </is>
      </c>
      <c r="E7" s="47" t="inlineStr">
        <is>
          <t>Fri 25 Sep 2026</t>
        </is>
      </c>
      <c r="F7" s="47" t="inlineStr">
        <is>
          <t>Fri 25 Sep 2026</t>
        </is>
      </c>
      <c r="G7" s="47" t="inlineStr">
        <is>
          <t>Teaching</t>
        </is>
      </c>
      <c r="H7" s="47" t="n"/>
    </row>
    <row r="8" ht="25.5" customHeight="1" s="36">
      <c r="A8" s="46" t="n">
        <v>4</v>
      </c>
      <c r="B8" s="47" t="inlineStr">
        <is>
          <t>Block 1 - Orientation &amp; Computational Thinking</t>
        </is>
      </c>
      <c r="C8" s="47" t="inlineStr">
        <is>
          <t>Mon 28 Sep 2026</t>
        </is>
      </c>
      <c r="D8" s="47" t="inlineStr">
        <is>
          <t>Tue 29 Sep 2026</t>
        </is>
      </c>
      <c r="E8" s="47" t="inlineStr">
        <is>
          <t>Fri 02 Oct 2026</t>
        </is>
      </c>
      <c r="F8" s="47" t="inlineStr">
        <is>
          <t>Fri 02 Oct 2026</t>
        </is>
      </c>
      <c r="G8" s="47" t="inlineStr">
        <is>
          <t>Teaching</t>
        </is>
      </c>
      <c r="H8" s="47" t="n"/>
    </row>
    <row r="9" ht="43.5" customHeight="1" s="36">
      <c r="A9" s="51" t="n">
        <v>5</v>
      </c>
      <c r="B9" s="52" t="inlineStr">
        <is>
          <t>Block 2 - Engineering Data</t>
        </is>
      </c>
      <c r="C9" s="52" t="inlineStr">
        <is>
          <t>Mon 05 Oct 2026</t>
        </is>
      </c>
      <c r="D9" s="52" t="inlineStr">
        <is>
          <t>Tue 06 Oct 2026</t>
        </is>
      </c>
      <c r="E9" s="52" t="inlineStr">
        <is>
          <t>Fri 09 Oct 2026</t>
        </is>
      </c>
      <c r="F9" s="52" t="inlineStr">
        <is>
          <t>Fri 09 Oct 2026</t>
        </is>
      </c>
      <c r="G9" s="52" t="inlineStr">
        <is>
          <t>Teaching</t>
        </is>
      </c>
      <c r="H9" s="52" t="inlineStr">
        <is>
          <t>PUBLIC HOLIDAY: Fri 09 Oct 2026 is Uganda Independence Day. CML3112 (Tuesday) is UNAFFECTED and teaches normally on Tue 06 Oct. CML3113 and CML3111 both lose this session - it is the pandas week, and mitigation is mandatory. See Risk Register R1.</t>
        </is>
      </c>
    </row>
    <row r="10" ht="25.5" customHeight="1" s="36">
      <c r="A10" s="46" t="n">
        <v>6</v>
      </c>
      <c r="B10" s="47" t="inlineStr">
        <is>
          <t>Block 2 - Engineering Data</t>
        </is>
      </c>
      <c r="C10" s="47" t="inlineStr">
        <is>
          <t>Mon 12 Oct 2026</t>
        </is>
      </c>
      <c r="D10" s="47" t="inlineStr">
        <is>
          <t>Tue 13 Oct 2026</t>
        </is>
      </c>
      <c r="E10" s="47" t="inlineStr">
        <is>
          <t>Fri 16 Oct 2026</t>
        </is>
      </c>
      <c r="F10" s="47" t="inlineStr">
        <is>
          <t>Fri 16 Oct 2026</t>
        </is>
      </c>
      <c r="G10" s="47" t="inlineStr">
        <is>
          <t>Teaching</t>
        </is>
      </c>
      <c r="H10" s="47" t="n"/>
    </row>
    <row r="11" ht="43.5" customHeight="1" s="36">
      <c r="A11" s="53" t="n">
        <v>7</v>
      </c>
      <c r="B11" s="54" t="inlineStr">
        <is>
          <t>ASSESSMENT WEEK 1</t>
        </is>
      </c>
      <c r="C11" s="54" t="inlineStr">
        <is>
          <t>Mon 19 Oct 2026</t>
        </is>
      </c>
      <c r="D11" s="54" t="inlineStr">
        <is>
          <t>Tue 20 Oct 2026</t>
        </is>
      </c>
      <c r="E11" s="54" t="inlineStr">
        <is>
          <t>Fri 23 Oct 2026</t>
        </is>
      </c>
      <c r="F11" s="54" t="inlineStr">
        <is>
          <t>Fri 23 Oct 2026</t>
        </is>
      </c>
      <c r="G11" s="54" t="inlineStr">
        <is>
          <t>ASSESSMENT WEEK</t>
        </is>
      </c>
      <c r="H11" s="54" t="inlineStr">
        <is>
          <t>Practical Test 1 - Data Investigation (individual, timed Colab practical, 3 hours).</t>
        </is>
      </c>
    </row>
    <row r="12" ht="25.5" customHeight="1" s="36">
      <c r="A12" s="46" t="n">
        <v>8</v>
      </c>
      <c r="B12" s="47" t="inlineStr">
        <is>
          <t>Block 3 - The Machine Learning Core</t>
        </is>
      </c>
      <c r="C12" s="47" t="inlineStr">
        <is>
          <t>Mon 26 Oct 2026</t>
        </is>
      </c>
      <c r="D12" s="47" t="inlineStr">
        <is>
          <t>Tue 27 Oct 2026</t>
        </is>
      </c>
      <c r="E12" s="47" t="inlineStr">
        <is>
          <t>Fri 30 Oct 2026</t>
        </is>
      </c>
      <c r="F12" s="47" t="inlineStr">
        <is>
          <t>Fri 30 Oct 2026</t>
        </is>
      </c>
      <c r="G12" s="47" t="inlineStr">
        <is>
          <t>Teaching</t>
        </is>
      </c>
      <c r="H12" s="47" t="n"/>
    </row>
    <row r="13" ht="25.5" customHeight="1" s="36">
      <c r="A13" s="46" t="n">
        <v>9</v>
      </c>
      <c r="B13" s="47" t="inlineStr">
        <is>
          <t>Block 3 - The Machine Learning Core</t>
        </is>
      </c>
      <c r="C13" s="47" t="inlineStr">
        <is>
          <t>Mon 02 Nov 2026</t>
        </is>
      </c>
      <c r="D13" s="47" t="inlineStr">
        <is>
          <t>Tue 03 Nov 2026</t>
        </is>
      </c>
      <c r="E13" s="47" t="inlineStr">
        <is>
          <t>Fri 06 Nov 2026</t>
        </is>
      </c>
      <c r="F13" s="47" t="inlineStr">
        <is>
          <t>Fri 06 Nov 2026</t>
        </is>
      </c>
      <c r="G13" s="47" t="inlineStr">
        <is>
          <t>Teaching</t>
        </is>
      </c>
      <c r="H13" s="47" t="n"/>
    </row>
    <row r="14" ht="25.5" customHeight="1" s="36">
      <c r="A14" s="46" t="n">
        <v>10</v>
      </c>
      <c r="B14" s="47" t="inlineStr">
        <is>
          <t>Block 3 - The Machine Learning Core</t>
        </is>
      </c>
      <c r="C14" s="47" t="inlineStr">
        <is>
          <t>Mon 09 Nov 2026</t>
        </is>
      </c>
      <c r="D14" s="47" t="inlineStr">
        <is>
          <t>Tue 10 Nov 2026</t>
        </is>
      </c>
      <c r="E14" s="47" t="inlineStr">
        <is>
          <t>Fri 13 Nov 2026</t>
        </is>
      </c>
      <c r="F14" s="47" t="inlineStr">
        <is>
          <t>Fri 13 Nov 2026</t>
        </is>
      </c>
      <c r="G14" s="47" t="inlineStr">
        <is>
          <t>Teaching</t>
        </is>
      </c>
      <c r="H14" s="47" t="n"/>
    </row>
    <row r="15" ht="25.5" customHeight="1" s="36">
      <c r="A15" s="46" t="n">
        <v>11</v>
      </c>
      <c r="B15" s="47" t="inlineStr">
        <is>
          <t>Block 4 - Practical Machine Learning Judgement</t>
        </is>
      </c>
      <c r="C15" s="47" t="inlineStr">
        <is>
          <t>Mon 16 Nov 2026</t>
        </is>
      </c>
      <c r="D15" s="47" t="inlineStr">
        <is>
          <t>Tue 17 Nov 2026</t>
        </is>
      </c>
      <c r="E15" s="47" t="inlineStr">
        <is>
          <t>Fri 20 Nov 2026</t>
        </is>
      </c>
      <c r="F15" s="47" t="inlineStr">
        <is>
          <t>Fri 20 Nov 2026</t>
        </is>
      </c>
      <c r="G15" s="47" t="inlineStr">
        <is>
          <t>Teaching</t>
        </is>
      </c>
      <c r="H15" s="47" t="n"/>
    </row>
    <row r="16" ht="25.5" customHeight="1" s="36">
      <c r="A16" s="46" t="n">
        <v>12</v>
      </c>
      <c r="B16" s="47" t="inlineStr">
        <is>
          <t>Block 4 - Practical Machine Learning Judgement</t>
        </is>
      </c>
      <c r="C16" s="47" t="inlineStr">
        <is>
          <t>Mon 23 Nov 2026</t>
        </is>
      </c>
      <c r="D16" s="47" t="inlineStr">
        <is>
          <t>Tue 24 Nov 2026</t>
        </is>
      </c>
      <c r="E16" s="47" t="inlineStr">
        <is>
          <t>Fri 27 Nov 2026</t>
        </is>
      </c>
      <c r="F16" s="47" t="inlineStr">
        <is>
          <t>Fri 27 Nov 2026</t>
        </is>
      </c>
      <c r="G16" s="47" t="inlineStr">
        <is>
          <t>Teaching</t>
        </is>
      </c>
      <c r="H16" s="47" t="n"/>
    </row>
    <row r="17" ht="25.5" customHeight="1" s="36">
      <c r="A17" s="46" t="n">
        <v>13</v>
      </c>
      <c r="B17" s="47" t="inlineStr">
        <is>
          <t>Block 5 - Engineering Project</t>
        </is>
      </c>
      <c r="C17" s="47" t="inlineStr">
        <is>
          <t>Mon 30 Nov 2026</t>
        </is>
      </c>
      <c r="D17" s="47" t="inlineStr">
        <is>
          <t>Tue 01 Dec 2026</t>
        </is>
      </c>
      <c r="E17" s="47" t="inlineStr">
        <is>
          <t>Fri 04 Dec 2026</t>
        </is>
      </c>
      <c r="F17" s="47" t="inlineStr">
        <is>
          <t>Fri 04 Dec 2026</t>
        </is>
      </c>
      <c r="G17" s="47" t="inlineStr">
        <is>
          <t>Teaching</t>
        </is>
      </c>
      <c r="H17" s="47" t="n"/>
    </row>
    <row r="18" ht="43.5" customHeight="1" s="36">
      <c r="A18" s="53" t="n">
        <v>14</v>
      </c>
      <c r="B18" s="54" t="inlineStr">
        <is>
          <t>ASSESSMENT WEEK 2</t>
        </is>
      </c>
      <c r="C18" s="54" t="inlineStr">
        <is>
          <t>Mon 07 Dec 2026</t>
        </is>
      </c>
      <c r="D18" s="54" t="inlineStr">
        <is>
          <t>Tue 08 Dec 2026</t>
        </is>
      </c>
      <c r="E18" s="54" t="inlineStr">
        <is>
          <t>Fri 11 Dec 2026</t>
        </is>
      </c>
      <c r="F18" s="54" t="inlineStr">
        <is>
          <t>Fri 11 Dec 2026</t>
        </is>
      </c>
      <c r="G18" s="54" t="inlineStr">
        <is>
          <t>ASSESSMENT WEEK</t>
        </is>
      </c>
      <c r="H18" s="54" t="inlineStr">
        <is>
          <t>Practical Test 2 - End-to-End Engineering ML (individual, timed Colab practical, 3 hours).</t>
        </is>
      </c>
    </row>
    <row r="19" ht="43.5" customHeight="1" s="36">
      <c r="A19" s="43" t="n">
        <v>15</v>
      </c>
      <c r="B19" s="44" t="inlineStr">
        <is>
          <t>Block 5 - Engineering Project</t>
        </is>
      </c>
      <c r="C19" s="44" t="inlineStr">
        <is>
          <t>Mon 14 Dec 2026</t>
        </is>
      </c>
      <c r="D19" s="44" t="inlineStr">
        <is>
          <t>Tue 15 Dec 2026</t>
        </is>
      </c>
      <c r="E19" s="44" t="inlineStr">
        <is>
          <t>Fri 18 Dec 2026</t>
        </is>
      </c>
      <c r="F19" s="44" t="inlineStr">
        <is>
          <t>Fri 18 Dec 2026</t>
        </is>
      </c>
      <c r="G19" s="44" t="inlineStr">
        <is>
          <t>Teaching / Demo</t>
        </is>
      </c>
      <c r="H19" s="44" t="inlineStr">
        <is>
          <t>Engineering ML Demo Day, individual viva sampling, reflection.</t>
        </is>
      </c>
    </row>
    <row r="20"/>
    <row r="21" ht="15" customHeight="1" s="36">
      <c r="A21" s="40" t="inlineStr">
        <is>
          <t>Teaching weeks: 13.  Assessment weeks: 2 (Weeks 7 and 14).  Contact hours per cohort: 45. Total lecturer contact: 9 hours per week — 3 on Tuesday and SIX BACK-TO-BACK ON FRIDAY, 08:00 to 14:00 with a room change and no gap. See Risk R16.</t>
        </is>
      </c>
    </row>
    <row r="22" ht="15" customHeight="1" s="36">
      <c r="A22" s="55" t="inlineStr">
        <is>
          <t>Colour key:  red = assessment week ·  amber = action required ·  green = demo day.</t>
        </is>
      </c>
    </row>
  </sheetData>
  <mergeCells count="4">
    <mergeCell ref="A2:G2"/>
    <mergeCell ref="A21:H21"/>
    <mergeCell ref="A1:G1"/>
    <mergeCell ref="A22:H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O1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30" customWidth="1" style="35" min="2" max="2"/>
    <col width="34" customWidth="1" style="35" min="3" max="3"/>
    <col width="62" customWidth="1" style="35" min="4" max="4"/>
    <col width="78" customWidth="1" style="35" min="5" max="5"/>
    <col width="56" customWidth="1" style="35" min="6" max="6"/>
    <col width="50" customWidth="1" style="35" min="7" max="7"/>
    <col width="56" customWidth="1" style="35" min="8" max="9"/>
    <col width="44" customWidth="1" style="35" min="10" max="10"/>
    <col width="54" customWidth="1" style="35" min="11" max="11"/>
    <col width="40" customWidth="1" style="35" min="12" max="12"/>
    <col width="46" customWidth="1" style="35" min="13" max="13"/>
    <col width="66" customWidth="1" style="35" min="14" max="14"/>
    <col width="52" customWidth="1" style="35" min="15" max="15"/>
  </cols>
  <sheetData>
    <row r="1" ht="25.5" customHeight="1" s="36">
      <c r="A1" s="37" t="inlineStr">
        <is>
          <t>Master Plan — the shared 70% machine learning core</t>
        </is>
      </c>
    </row>
    <row r="2" ht="18" customHeight="1" s="36">
      <c r="A2" s="38" t="inlineStr">
        <is>
          <t>Taught identically to all three cohorts. Prepare once. The discipline overlay lives on the three cohort sheets.</t>
        </is>
      </c>
    </row>
    <row r="3"/>
    <row r="4" ht="39.75" customHeight="1" s="36">
      <c r="A4" s="42" t="inlineStr">
        <is>
          <t>Week</t>
        </is>
      </c>
      <c r="B4" s="42" t="inlineStr">
        <is>
          <t>Block / Phase</t>
        </is>
      </c>
      <c r="C4" s="42" t="inlineStr">
        <is>
          <t>Topic</t>
        </is>
      </c>
      <c r="D4" s="42" t="inlineStr">
        <is>
          <t>Learning objectives (by the end of the session, students can…)</t>
        </is>
      </c>
      <c r="E4" s="42" t="inlineStr">
        <is>
          <t>3-hour session structure</t>
        </is>
      </c>
      <c r="F4" s="42" t="inlineStr">
        <is>
          <t>Concepts introduced</t>
        </is>
      </c>
      <c r="G4" s="42" t="inlineStr">
        <is>
          <t>Tools introduced</t>
        </is>
      </c>
      <c r="H4" s="42" t="inlineStr">
        <is>
          <t>Practical / lab</t>
        </is>
      </c>
      <c r="I4" s="42" t="inlineStr">
        <is>
          <t>Interactive challenge</t>
        </is>
      </c>
      <c r="J4" s="42" t="inlineStr">
        <is>
          <t>Assignment</t>
        </is>
      </c>
      <c r="K4" s="42" t="inlineStr">
        <is>
          <t>Weekly quiz (QR, auto-graded)</t>
        </is>
      </c>
      <c r="L4" s="42" t="inlineStr">
        <is>
          <t>Project milestone</t>
        </is>
      </c>
      <c r="M4" s="42" t="inlineStr">
        <is>
          <t>Assessment relevance</t>
        </is>
      </c>
      <c r="N4" s="42" t="inlineStr">
        <is>
          <t>Lecturer preparation</t>
        </is>
      </c>
      <c r="O4" s="42" t="inlineStr">
        <is>
          <t>Required resources</t>
        </is>
      </c>
    </row>
    <row r="5" ht="199.5" customHeight="1" s="36">
      <c r="A5" s="46" t="n">
        <v>1</v>
      </c>
      <c r="B5" s="47" t="inlineStr">
        <is>
          <t>Block 1 - Orientation &amp; Computational Thinking</t>
        </is>
      </c>
      <c r="C5" s="47" t="inlineStr">
        <is>
          <t>The engineering problem that needs data</t>
        </is>
      </c>
      <c r="D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E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F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G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H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t>
        </is>
      </c>
      <c r="I5" s="47" t="inlineStr">
        <is>
          <t>Problem Hunt (see structure). Deliberately unguided: no template, no worked example. The lecturer only asks questions.</t>
        </is>
      </c>
      <c r="J5" s="47" t="inlineStr">
        <is>
          <t>A1 (one page): 'Three problems, one dataset' - three candidate ML problems from their discipline, the data each would need, and where that data might come from. PLUS the environment install checklist to be completed before Week 2.</t>
        </is>
      </c>
      <c r="K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L5" s="47" t="inlineStr">
        <is>
          <t>Project teams formed and registered. Team charter signed (roles, contact, meeting slot, conflict rule).</t>
        </is>
      </c>
      <c r="M5" s="47" t="inlineStr">
        <is>
          <t>A1 contributes to Practical Challenges &amp; Assignments (10%). Marked pass / redo - the point is engagement, not polish.</t>
        </is>
      </c>
      <c r="N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t>
        </is>
      </c>
      <c r="O5" s="47" t="inlineStr">
        <is>
          <t>• Projector, whiteboard, marker pens, flipchart or A3 sheets.
• Printed dataset extracts, printed install guide, printed course outline.
• Laptop-access survey (paper, for 100% return).
• No student computers required this week - by design.</t>
        </is>
      </c>
    </row>
    <row r="6" ht="199.5" customHeight="1" s="36">
      <c r="A6" s="48" t="n">
        <v>2</v>
      </c>
      <c r="B6" s="49" t="inlineStr">
        <is>
          <t>Block 1 - Orientation &amp; Computational Thinking</t>
        </is>
      </c>
      <c r="C6" s="49" t="inlineStr">
        <is>
          <t>Colab notebooks and version control</t>
        </is>
      </c>
      <c r="D6" s="49" t="inlineStr">
        <is>
          <t>• Open and run a notebook in Colab.
• Explain cells, kernel state and Restart and Run All.
• Read error messages and repair four simple failures.
• Create a GitHub repository and save a notebook with a useful commit message.</t>
        </is>
      </c>
      <c r="E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F6" s="49" t="inlineStr">
        <is>
          <t>• Cell, kernel, hidden state and reproducibility.
• Working directory and relative path.
• Repository, staging, commit, push and README.</t>
        </is>
      </c>
      <c r="G6" s="49" t="inlineStr">
        <is>
          <t>• Google Colab is the primary route.
• GitHub stores the work and its history.
• Pre-provisioned Jupyter lab machines are the connection fallback.</t>
        </is>
      </c>
      <c r="H6" s="49" t="inlineStr">
        <is>
          <t>Use setup/&lt;cohort&gt;/proof_of_life.ipynb and its four-row CSV. Run, predict repeated execution, restart and run all, then save to GitHub.</t>
        </is>
      </c>
      <c r="I6" s="49" t="inlineStr">
        <is>
          <t>Repair the four supplied notebooks: unavailable import, wrong Python-version expectation, wrong path and hidden state. Explain each cause in one sentence.</t>
        </is>
      </c>
      <c r="J6" s="49" t="inlineStr">
        <is>
          <t>A2 Proof of Life: submit the repository URL and named notebook through the assignment form. Upload the README; keep the CSV in your repository. See setup/A2_assignment_brief.md. Due at the start of Week 3.</t>
        </is>
      </c>
      <c r="K6" s="49" t="inlineStr">
        <is>
          <t>QUIZ 2 - notebooks and version control
Out-of-order execution diagnosed from a cell-numbering trace, what Restart and Run All proves, and reading one git status output. A2 separately checks readiness for Week 3.</t>
        </is>
      </c>
      <c r="L6" s="49" t="inlineStr">
        <is>
          <t>Each student has a working notebook and repository. Team collaboration continues from Week 1.</t>
        </is>
      </c>
      <c r="M6" s="49" t="inlineStr">
        <is>
          <t>A2 is one of eleven challenges, best eight contributing 10%. The Week 2 quiz is one of twelve quizzes, best ten contributing 10%.</t>
        </is>
      </c>
      <c r="N6" s="49" t="inlineStr">
        <is>
          <t>• Rehearse Colab sign-in and the lab fallback with a student account.
• Distribute the small cohort ZIP from setup/ before class.
• Run setup/check_setup.py on lab machines.
• Check the Week 2 form and displayed deadline. Brief floor helpers.</t>
        </is>
      </c>
      <c r="O6" s="49" t="inlineStr">
        <is>
          <t>• Laptop or provisioned lab computer, charger, cohort ZIP and a printed copy of setup/README.md.
• USB/local-share copy for connection outages.</t>
        </is>
      </c>
    </row>
    <row r="7" ht="199.5" customHeight="1" s="36">
      <c r="A7" s="46" t="n">
        <v>3</v>
      </c>
      <c r="B7" s="47" t="inlineStr">
        <is>
          <t>Block 1 - Orientation &amp; Computational Thinking</t>
        </is>
      </c>
      <c r="C7" s="47" t="inlineStr">
        <is>
          <t>Python as an engineering calculator</t>
        </is>
      </c>
      <c r="D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E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F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G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H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t>
        </is>
      </c>
      <c r="I7" s="47" t="inlineStr">
        <is>
          <t>Wrong Answer Hunt - six silently wrong functions. Chosen because 'it ran, therefore it is right' is the single most dangerous belief a beginner can form, and it is fatal later in model evaluation.</t>
        </is>
      </c>
      <c r="J7" s="47" t="inlineStr">
        <is>
          <t>A3: complete the five tasks in practicals/W03/&lt;cohort&gt;/W03_student.ipynb. The broader function library is practice. Submit the named notebook through the assignment form.</t>
        </is>
      </c>
      <c r="K7" s="47" t="inlineStr">
        <is>
          <t>QUIZ 3 - Python as an engineering calculator
A unit error that returns a plausible wrong number, a function that returns nothing because it prints instead, an if-chain whose branches are in the wrong order, and one traceback.</t>
        </is>
      </c>
      <c r="L7" s="47" t="inlineStr">
        <is>
          <t>Team repository has a working code file and a commit history with more than one contributor.</t>
        </is>
      </c>
      <c r="M7" s="47" t="inlineStr">
        <is>
          <t>A3 contributes to Practical Challenges &amp; Assignments (10%). Function-writing and traceback-reading are directly examined in Practical Test 1 (Week 7).</t>
        </is>
      </c>
      <c r="N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O7" s="47" t="inlineStr">
        <is>
          <t>• Computers, projector, printed formula sheet for the cohort.
• Printed Python syntax cheat sheet (one page, both sides).
• Wrong Answer Hunt notebook distributed offline via USB or the network share.</t>
        </is>
      </c>
    </row>
    <row r="8" ht="199.5" customHeight="1" s="36">
      <c r="A8" s="48" t="n">
        <v>4</v>
      </c>
      <c r="B8" s="49" t="inlineStr">
        <is>
          <t>Block 1 - Orientation &amp; Computational Thinking</t>
        </is>
      </c>
      <c r="C8" s="49" t="inlineStr">
        <is>
          <t>Python for problem solving: collections, loops and files</t>
        </is>
      </c>
      <c r="D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E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F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G8" s="49" t="inlineStr">
        <is>
          <t>• The csv module and open() - deliberately no pandas yet.
• The VS Code debugger on a loop, to watch an accumulator fill.
• Git: incremental commits during the build.</t>
        </is>
      </c>
      <c r="H8" s="49" t="inlineStr">
        <is>
          <t>Reading Report script (see structure). Core tier: handle a clean file. Stretch tier: survive a file containing blank lines, a stray text value in a numeric column and a duplicated header row - which is exactly what Week 6 formalises.</t>
        </is>
      </c>
      <c r="I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J8" s="49" t="inlineStr">
        <is>
          <t>A4: the Reading Report notebook with four automatically checked summaries. See practicals/W04/&lt;cohort&gt;/README.md. The 150-word interpretation is formative practice.</t>
        </is>
      </c>
      <c r="K8" s="49" t="inlineStr">
        <is>
          <t>QUIZ 4 - collections, loops and files
An accumulator reset inside the loop, a range off-by-one, a value read from a file as a string, and a skipped-row count that was never reported.</t>
        </is>
      </c>
      <c r="L8" s="49" t="inlineStr">
        <is>
          <t>Each team submits a one-paragraph statement of the kind of engineering problem it wants to work on for the semester (not yet a dataset).</t>
        </is>
      </c>
      <c r="M8" s="49" t="inlineStr">
        <is>
          <t>A4 contributes to Practical Challenges &amp; Assignments (10%). Investigation Lab 1 is the direct rehearsal for Practical Test 1 in Week 7 and establishes the no-spoon-feeding norm.</t>
        </is>
      </c>
      <c r="N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O8" s="49" t="inlineStr">
        <is>
          <t>• Computers, the Investigation Lab data file distributed offline.
• Printed question-bank cards.
• Timer visible to the room - the pitch round must not overrun.
• Flipchart for the findings pitches.</t>
        </is>
      </c>
    </row>
    <row r="9" ht="199.5" customHeight="1" s="36">
      <c r="A9" s="46" t="n">
        <v>5</v>
      </c>
      <c r="B9" s="47" t="inlineStr">
        <is>
          <t>Block 2 - Engineering Data</t>
        </is>
      </c>
      <c r="C9" s="47" t="inlineStr">
        <is>
          <t>NumPy and pandas: the engineer's data table, and where data comes from</t>
        </is>
      </c>
      <c r="D9" s="47"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E9" s="47"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F9" s="47"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G9" s="47" t="inlineStr">
        <is>
          <t>• NumPy.
• pandas.
• Kaggle (search, dataset cards, download, public notebooks as worked examples).
• UCI Machine Learning Repository and the ucimlrepo package.
• Jupyter as the primary surface from this week onward.</t>
        </is>
      </c>
      <c r="H9" s="47" t="inlineStr">
        <is>
          <t>Twelve Questions interrogation notebook on the anchor dataset (see structure). Core tier: answer all twelve. Stretch tier: add two questions of their own and answer them.</t>
        </is>
      </c>
      <c r="I9" s="47" t="inlineStr">
        <is>
          <t>Ten Questions, No Help - a timed, unassisted interrogation of an unfamiliar dataset. Directly calibrates students against the Week 7 test format.</t>
        </is>
      </c>
      <c r="J9" s="47" t="inlineStr">
        <is>
          <t>A5: complete the six automatically checked campus-energy tasks in practicals/W05/&lt;cohort&gt;/W05_student.ipynb. The Twelve Questions anchor-data investigation remains practice.</t>
        </is>
      </c>
      <c r="K9" s="47" t="inlineStr">
        <is>
          <t>QUIZ 5 - pandas and judging a dataset
A mask confused with a filtered frame, a groupby result whose shape is misread, a dtype of 'object' on a numeric column, and one question on where a dataset came from.</t>
        </is>
      </c>
      <c r="L9" s="47" t="inlineStr">
        <is>
          <t>DATA ANALYSIS PROJECT launched. Each team selects a dataset from the approved list (or proposes one for approval), and registers the engineering question it will answer.</t>
        </is>
      </c>
      <c r="M9" s="47" t="inlineStr">
        <is>
          <t>A5 contributes to Practical Challenges &amp; Assignments (10%). The Data Analysis Project is 10% in its own right. pandas fluency is the core of Practical Test 1 (Week 7).</t>
        </is>
      </c>
      <c r="N9" s="47"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O9" s="47"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row>
    <row r="10" ht="199.5" customHeight="1" s="36">
      <c r="A10" s="48" t="n">
        <v>6</v>
      </c>
      <c r="B10" s="49" t="inlineStr">
        <is>
          <t>Block 2 - Engineering Data</t>
        </is>
      </c>
      <c r="C10" s="49" t="inlineStr">
        <is>
          <t>Dirty data, and seeing it: data quality through visualisation</t>
        </is>
      </c>
      <c r="D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E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F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G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H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t>
        </is>
      </c>
      <c r="I10" s="49" t="inlineStr">
        <is>
          <t>The Outlier Argument - forces a judgement call with no lookup answer, and rewards domain reasoning over technique.</t>
        </is>
      </c>
      <c r="J10" s="49" t="inlineStr">
        <is>
          <t>A6 / W06: use the issued cohort notebook and TASKS.md in assessment_banks/W06. Complete the cleaning, summary and audit interfaces plus the designated written-evidence cell. The broader Data Clinic and project work are practice and project development.</t>
        </is>
      </c>
      <c r="K10" s="49" t="inlineStr">
        <is>
          <t>QUIZ 6 - dirty data, and seeing it
A zero-coded missing value, a chart that does not answer the stated question, and an extreme value that has to be judged as an error or a real measurement.</t>
        </is>
      </c>
      <c r="L10" s="49" t="inlineStr">
        <is>
          <t>Data Analysis Project: cleaned dataset and at least four question-driven charts committed to the repository.</t>
        </is>
      </c>
      <c r="M10" s="49" t="inlineStr">
        <is>
          <t>A6 contributes to Practical Challenges &amp; Assignments (10%). Cleaning judgement and chart quality are 40% of the Practical Test 1 rubric.</t>
        </is>
      </c>
      <c r="N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O10" s="49" t="inlineStr">
        <is>
          <t>• Computers; the damaged dataset offline; seaborn/matplotlib cheat sheet.
• Printed defect register template.
• Practical Test 1 information sheet and rubric for distribution.
• Colour printing or a good projector for the chart-quality comparison.</t>
        </is>
      </c>
    </row>
    <row r="11" ht="199.5" customHeight="1" s="36">
      <c r="A11" s="53" t="n">
        <v>7</v>
      </c>
      <c r="B11" s="54" t="inlineStr">
        <is>
          <t>ASSESSMENT WEEK 1</t>
        </is>
      </c>
      <c r="C11" s="54" t="inlineStr">
        <is>
          <t>PRACTICAL TEST 1 - Data Investigation (individual, timed Colab practical)</t>
        </is>
      </c>
      <c r="D11" s="54" t="inlineStr">
        <is>
          <t>• Read, inspect and clean an unfamiliar engineering dataset without a prescribed method, and check the result with charts.
• Calculate summary statistics and group means with pandas and report them accurately.
• Write a function that works on any table, and a loop with conditions.
• Explain their own submitted code when asked, without AI or another person's help.</t>
        </is>
      </c>
      <c r="E11" s="54" t="inlineStr">
        <is>
          <t>• 0:00-0:10  Entry link, private notebook and CSV, rules read aloud, identity cell checked.
• 0:10-2:25  CODING (135 minutes). Individual, in Colab. Eight coded tasks: read and inspect the file, a chart before cleaning, cleaning, a chart after cleaning, statistics, grouping, one function, and a loop with conditions.
• 2:25-2:40  CHECKING (15 minutes). Restart the session and Run all.
• 2:40-3:00  FINAL SAVE AND SUBMISSION (20 minutes). Submit test button, generated form link, confirmation.</t>
        </is>
      </c>
      <c r="F11" s="54" t="inlineStr">
        <is>
          <t>• No new concepts. Weeks 1-6 are examined: pandas, cleaning judgement, visualisation, engineering interpretation.
• Examined implicitly: the ability to proceed without instructions.</t>
        </is>
      </c>
      <c r="G11" s="54" t="inlineStr">
        <is>
          <t>• Permitted: Colab, pandas, matplotlib, ordinary Python, and your lecture slides, revision guide, cheatsheet and personal course notes.
• Prohibited: AI tools, help from another person and copied work. Colab cannot block an AI assistant, so the rule rests on the declaration, hidden-data grading and an understanding check in which a student may be asked to explain or change their own code.
• Rationale published to students in Week 6: AI is permitted and encouraged in projects, where the work is explained and defended; it is excluded from the two tests, which certify unaided capability.</t>
        </is>
      </c>
      <c r="H11" s="54" t="inlineStr">
        <is>
          <t>The test is a coding practical in Colab, three hours from the start including setup, checking and submission. Three parallel dataset variants are issued by the entry page, and the deterministic grader re-runs the submitted code on other data.</t>
        </is>
      </c>
      <c r="I11" s="54" t="inlineStr">
        <is>
          <t>The entire assessment is the challenge: an unfamiliar dataset, no prescribed method, and marks awarded for reasoning as much as for result.</t>
        </is>
      </c>
      <c r="J11" s="54" t="inlineStr">
        <is>
          <t>None issued. Week 8 pre-reading only (a two-page primer on the idea of fitting a line), so the test week carries no homework load.</t>
        </is>
      </c>
      <c r="K11" s="54" t="inlineStr">
        <is>
          <t>—</t>
        </is>
      </c>
      <c r="L11" s="54" t="inlineStr">
        <is>
          <t>Data Analysis Project continues outside class; due Week 8.</t>
        </is>
      </c>
      <c r="M11" s="54" t="inlineStr">
        <is>
          <t>PRACTICAL TEST 1 = 15% of the Semester 1 mark. Individual. Rubric: reading and inspecting 20, chart before cleaning 10, cleaning 20, chart after cleaning 10, statistics 15, grouping 10, one function 5, conditions and a loop 10.</t>
        </is>
      </c>
      <c r="N11" s="54" t="inlineStr">
        <is>
          <t>• Author three parallel dataset variants of matched difficulty, and the hidden data the grader uses.
• Test the entry page, private notebook, countdown, Submit test button and form link with one account for each variant.
• Confirm that every student has a Google account that works with Colab and the submission form.
• The deterministic grader marks all eight tasks, so no structural auto-check script is needed.
• Agree the moderation plan and the late and absent policy with the Faculty in advance.</t>
        </is>
      </c>
      <c r="O11" s="54" t="inlineStr">
        <is>
          <t>• A Colab-capable laptop and a stable connection for every student.
• An entry link or QR code for each variant.
• Published rubric (issued Week 6).
• A short understanding check for a sample of students after the test.</t>
        </is>
      </c>
    </row>
    <row r="12" ht="199.5" customHeight="1" s="36">
      <c r="A12" s="48" t="n">
        <v>8</v>
      </c>
      <c r="B12" s="49" t="inlineStr">
        <is>
          <t>Block 3 - The Machine Learning Core</t>
        </is>
      </c>
      <c r="C12" s="49" t="inlineStr">
        <is>
          <t>Learning from data: the first model</t>
        </is>
      </c>
      <c r="D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E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F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G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H12" s="49" t="inlineStr">
        <is>
          <t>First Model notebook (see structure). Core tier: a working, evaluated regression with the error stated in physical units. Stretch tier: a residual plot with a written interpretation of where the model is worst and a hypothesis as to why.</t>
        </is>
      </c>
      <c r="I12" s="49" t="inlineStr">
        <is>
          <t>Beat the Baseline. The baseline is the pedagogical device: it makes 'R-squared = 0.62' mean something, and it makes an unimpressive model an interesting result rather than a failure.</t>
        </is>
      </c>
      <c r="J12" s="49" t="inlineStr">
        <is>
          <t>A7 / W08: submit the issued cohort notebook with the regression/error interfaces and written interpretation of the supplied comparison. See assessment_banks/W08/&lt;cohort&gt;/A/TASKS.md.</t>
        </is>
      </c>
      <c r="K12" s="49" t="inlineStr">
        <is>
          <t>QUIZ 7 - the first model
A score quoted on the training rows, a residual plot read the wrong way round, MAE against RMSE on the same data, and a baseline nobody computed.</t>
        </is>
      </c>
      <c r="L12" s="49" t="inlineStr">
        <is>
          <t>DATA ANALYSIS PROJECT DUE (10%). Engineering ML Project brief previewed; teams begin scoping.</t>
        </is>
      </c>
      <c r="M12" s="49" t="inlineStr">
        <is>
          <t>A7 contributes to Practical Challenges (10%). Data Analysis Project is submitted and marked (10%). Regression, metrics and train/test are core to Practical Test 2 (Week 14).</t>
        </is>
      </c>
      <c r="N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O12" s="49" t="inlineStr">
        <is>
          <t>• Computers; anchor dataset offline; projector.
• Leaderboard display.
• Printed sklearn API card (fit / predict / score / metrics).
• Marked or triaged Test 1 scripts for the debrief.</t>
        </is>
      </c>
    </row>
    <row r="13" ht="199.5" customHeight="1" s="36">
      <c r="A13" s="46" t="n">
        <v>9</v>
      </c>
      <c r="B13" s="47" t="inlineStr">
        <is>
          <t>Block 3 - The Machine Learning Core</t>
        </is>
      </c>
      <c r="C13" s="47" t="inlineStr">
        <is>
          <t>Classification: predicting which category a case belongs to</t>
        </is>
      </c>
      <c r="D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E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F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G13" s="47" t="inlineStr">
        <is>
          <t>• scikit-learn: LogisticRegression, DecisionTreeClassifier, RandomForestClassifier, confusion_matrix, ConfusionMatrixDisplay, classification_report, plot_tree.
• seaborn for the confusion matrix heatmap.
• pandas for the cost table.</t>
        </is>
      </c>
      <c r="H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t>
        </is>
      </c>
      <c r="I13" s="47" t="inlineStr">
        <is>
          <t>The 97% Trap. Deliberately adversarial. It inoculates students against the single most common failure in applied ML, and it is a low-guidance session by design.</t>
        </is>
      </c>
      <c r="J13" s="47" t="inlineStr">
        <is>
          <t>A8 / W09: submit the issued cohort notebook with classification checks and written interpretation of the supplied cost scenario. See assessment_banks/W09/&lt;cohort&gt;/A/TASKS.md.</t>
        </is>
      </c>
      <c r="K13" s="47" t="inlineStr">
        <is>
          <t>QUIZ 8 - classification
A confusion matrix read for what the model does badly, an accuracy figure quoted without the class balance, and a threshold moved with its effect on each cell.</t>
        </is>
      </c>
      <c r="L13" s="47" t="inlineStr">
        <is>
          <t>ENGINEERING ML PROJECT launched (25%, runs to Week 15). Teams must register a problem statement, a candidate dataset and a named target variable by Week 10.</t>
        </is>
      </c>
      <c r="M13" s="47" t="inlineStr">
        <is>
          <t>A8 contributes to Practical Challenges (10%). The Engineering ML Project brief and rubric are now live. Classification and metric choice are examined in Practical Test 2.</t>
        </is>
      </c>
      <c r="N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O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row>
    <row r="14" ht="199.5" customHeight="1" s="36">
      <c r="A14" s="48" t="n">
        <v>10</v>
      </c>
      <c r="B14" s="49" t="inlineStr">
        <is>
          <t>Block 3 - The Machine Learning Core</t>
        </is>
      </c>
      <c r="C14" s="49" t="inlineStr">
        <is>
          <t>Can I trust this model?</t>
        </is>
      </c>
      <c r="D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E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F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G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H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I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J14" s="49" t="inlineStr">
        <is>
          <t>A9 / W10: submit the issued cohort notebook with group-split/preprocessing checks and written leakage/conditions-of-use evidence. The broader project Trust Lab remains project development.</t>
        </is>
      </c>
      <c r="K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L14" s="49" t="inlineStr">
        <is>
          <t>PROJECT MILESTONE 1 (graded milestone): problem statement, dataset with licence, named target, and a baseline notebook. Each member's contribution log must be present in the repository.</t>
        </is>
      </c>
      <c r="M14" s="49" t="inlineStr">
        <is>
          <t>A9 contributes to Practical Challenges (10%). PM1 is a graded milestone within the Engineering ML Project (25%). Validation carries 15 of the 100 marks in the project rubric, and leakage control carries 20 of the 100 marks in the Practical Test 2 rubric.</t>
        </is>
      </c>
      <c r="N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O14" s="49" t="inlineStr">
        <is>
          <t>• Computers; the three challenge notebooks offline; projector.
• Printed PM1 checklist and contribution log template.
• Printed leakage taxonomy card (four kinds, one example each).
• Timer for the PM1 stand-ups.</t>
        </is>
      </c>
    </row>
    <row r="15" ht="199.5" customHeight="1" s="36">
      <c r="A15" s="46" t="n">
        <v>11</v>
      </c>
      <c r="B15" s="47" t="inlineStr">
        <is>
          <t>Block 4 - Practical Machine Learning Judgement</t>
        </is>
      </c>
      <c r="C15" s="47" t="inlineStr">
        <is>
          <t>Features: where engineering knowledge enters the model</t>
        </is>
      </c>
      <c r="D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E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F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G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H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t>
        </is>
      </c>
      <c r="I15" s="47" t="inlineStr">
        <is>
          <t>Domain Advantage - a controlled experiment run by the students on themselves, comparing raw data plus a better algorithm against domain knowledge plus a simple algorithm.</t>
        </is>
      </c>
      <c r="J15" s="47" t="inlineStr">
        <is>
          <t>A10 / W11: submit the issued cohort notebook with feature/error checks and written interpretation of the supplied ablation. Extend the method to your project separately.</t>
        </is>
      </c>
      <c r="K15" s="47" t="inlineStr">
        <is>
          <t>QUIZ 10 - features
An ablation table read for which feature earned its place, a one-hot encoding on a high-cardinality column, and a scaler that made no difference to a tree.</t>
        </is>
      </c>
      <c r="L15" s="47" t="inlineStr">
        <is>
          <t>PROJECT MILESTONE 2 briefed this week and due at the start of Week 12 (graded milestone): cleaned dataset, feature dictionary, and a first properly evaluated model inside a Pipeline.</t>
        </is>
      </c>
      <c r="M15" s="47" t="inlineStr">
        <is>
          <t>A10 contributes to Practical Challenges (10%). PM2 is a graded milestone within the project (25%). Engineering reasoning carries 20 of the 100 project marks, and feature construction is where it is most visible.</t>
        </is>
      </c>
      <c r="N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O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row>
    <row r="16" ht="199.5" customHeight="1" s="36">
      <c r="A16" s="48" t="n">
        <v>12</v>
      </c>
      <c r="B16" s="49" t="inlineStr">
        <is>
          <t>Block 4 - Practical Machine Learning Judgement</t>
        </is>
      </c>
      <c r="C16" s="49" t="inlineStr">
        <is>
          <t>Model comparison and engineering judgement (low-guidance week)</t>
        </is>
      </c>
      <c r="D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E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F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G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H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I16" s="49" t="inlineStr">
        <is>
          <t>Choose a Model and Defend It, plus the adversarial Defence Round. This is the week that most directly rehearses professional engineering practice, and the least guided session before the test.</t>
        </is>
      </c>
      <c r="J16" s="49" t="inlineStr">
        <is>
          <t>A11 / W12: submit the issued cohort notebook with selection/error checks and written reasoning about the supplied constraints. The in-class recommendation and live defence are practice. This is the last weekly challenge.</t>
        </is>
      </c>
      <c r="K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L16" s="49" t="inlineStr">
        <is>
          <t>PROJECT MILESTONE 3 briefed this week and due at the start of Week 13 (graded milestone): a model comparison table for the team's own project, with a justified selection.</t>
        </is>
      </c>
      <c r="M16" s="49" t="inlineStr">
        <is>
          <t>A11 contributes to Practical Challenges (10%) and is graded in-session. PM3 is a graded milestone within the project (25%). This session is the closest rehearsal for Practical Test 2.</t>
        </is>
      </c>
      <c r="N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O16" s="49" t="inlineStr">
        <is>
          <t>• Computers; challenge dataset offline; printed client briefs.
• Printed question-bank cards and recommendation template.
• Room layout allowing team-to-team defence (movable seating strongly preferred).
• Timer and a visible protocol poster.</t>
        </is>
      </c>
    </row>
    <row r="17" ht="199.5" customHeight="1" s="36">
      <c r="A17" s="46" t="n">
        <v>13</v>
      </c>
      <c r="B17" s="47" t="inlineStr">
        <is>
          <t>Block 5 - Engineering Project</t>
        </is>
      </c>
      <c r="C17" s="47" t="inlineStr">
        <is>
          <t>Project studio: reproducibility, communication and peer review</t>
        </is>
      </c>
      <c r="D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E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F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G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H17" s="47" t="inlineStr">
        <is>
          <t>Studio build plus the peer review round. Deliverable: a repository that passes restart-and-run-all, a complete README, requirements.txt, a contribution log, and a received peer review with a written response to it.</t>
        </is>
      </c>
      <c r="I17" s="47" t="inlineStr">
        <is>
          <t>The peer review itself. Teams discover that reviewing is harder than building, and they find their own defects in someone else's repository.</t>
        </is>
      </c>
      <c r="J17" s="47" t="inlineStr">
        <is>
          <t>No new assignment - project work only, deliberately, so the week before the test carries no extra load.</t>
        </is>
      </c>
      <c r="K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L17" s="47" t="inlineStr">
        <is>
          <t>PROJECT MILESTONE 4: repository freeze candidate, restart-and-run-all passing, peer review received and responded to.</t>
        </is>
      </c>
      <c r="M17" s="47" t="inlineStr">
        <is>
          <t>PM4 feeds the Reproducibility and documentation (5%) and Communication (10%) criteria of the project rubric, and the whole session prepares the Week 15 demo. Practical Test 2 is briefed here.</t>
        </is>
      </c>
      <c r="N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O17" s="47" t="inlineStr">
        <is>
          <t>• Computers; movable seating; printed clinic booking sheet and repository checklist.
• Printed peer review forms.
• Two assistants or floor helpers if the cohort exceeds 60 students.
• Practical Test 2 information sheet.</t>
        </is>
      </c>
    </row>
    <row r="18" ht="199.5" customHeight="1" s="36">
      <c r="A18" s="53" t="n">
        <v>14</v>
      </c>
      <c r="B18" s="54" t="inlineStr">
        <is>
          <t>ASSESSMENT WEEK 2</t>
        </is>
      </c>
      <c r="C18" s="54" t="inlineStr">
        <is>
          <t>PRACTICAL TEST 2 - End-to-End Engineering Machine Learning (individual, timed Colab practical)</t>
        </is>
      </c>
      <c r="D18" s="54" t="inlineStr">
        <is>
          <t>• Split data by whole equipment groups and fit models on training rows only.
• Compare a baseline, a straight line, a tree, a ridge curve and nearest neighbours on the same validation rows.
• Count classification outcomes and work out a cost, and run cross-validation by group.
• Test whether an extra input helps, and choose a model inside stated limits.
• Explain the choices: sealed test rows, training-only fill values, scaling and the ridge penalty.</t>
        </is>
      </c>
      <c r="E18" s="54" t="inlineStr">
        <is>
          <t>• 0:00-0:15  Entry page, notebook and CSV downloaded, rules read aloud, identity cell checked.
• 0:15-2:15  CODING (120 minutes). Individual, in Colab. Eight functions covering Weeks 8 to 13, from group_split to ridge_and_knn. The notebook states the columns, return formats and marks.
• 2:15-2:40  INTERPRETATION AND CHECKING (25 minutes). Six scenario choices recorded in DECISIONS, then Restart and Run all.
• 2:40-3:00  FINAL SAVE AND SUBMISSION (20 minutes). Submit test button, generated form link, confirmation. Week 15 demo running order confirmed.</t>
        </is>
      </c>
      <c r="F18" s="54" t="inlineStr">
        <is>
          <t>• No new concepts. Weeks 8-13 are examined: supervised learning, validation, leakage, features, model comparison and engineering interpretation.</t>
        </is>
      </c>
      <c r="G18" s="54" t="inlineStr">
        <is>
          <t>• Permitted: Colab, the submission form and any other resource the invigilator announces.
• Prohibited: AI assistants, messaging and copied answers.
• The notebook explains the columns and return formats, so the test examines judgement rather than memory of parameter names.</t>
        </is>
      </c>
      <c r="H18" s="54" t="inlineStr">
        <is>
          <t>The test is a coding practical in Colab, three hours from the start including setup, checking and submission. Three parallel dataset variants are issued by the entry page, and the deterministic grader re-runs the submitted code on other data.</t>
        </is>
      </c>
      <c r="I18" s="54" t="inlineStr">
        <is>
          <t>The whole assessment. An unfamiliar dataset, no prescribed method, and a rubric that awards more marks for reasoning and interpretation than for the score achieved.</t>
        </is>
      </c>
      <c r="J18" s="54" t="inlineStr">
        <is>
          <t>None. Final project preparation only.</t>
        </is>
      </c>
      <c r="K18" s="54" t="inlineStr">
        <is>
          <t>—</t>
        </is>
      </c>
      <c r="L18" s="54" t="inlineStr">
        <is>
          <t>Engineering ML Project: final build week outside class. Repository and two-page brief due at the Week 15 session.</t>
        </is>
      </c>
      <c r="M18" s="54" t="inlineStr">
        <is>
          <t>PRACTICAL TEST 2 = 20% of the Semester 1 mark. Individual. Rubric: group split 10, baseline, linear and tree predictions 15, MAE and RMSE 5, classification and cost 10, group cross-validation 10, feature ablation 10, model selection 10, ridge and nearest neighbours 15, six interpretation choices 15.</t>
        </is>
      </c>
      <c r="N18" s="54" t="inlineStr">
        <is>
          <t>• Author three parallel dataset variants of matched difficulty, each with a reference solution. The grader re-runs submitted code on unseen data.
• Test the entry page, notebook download, Submit test button and form link with one account for each variant.
• Confirm sittings, invigilators and Colab capacity with the Faculty. Cohort A is about 100 students.
• Agree the moderation sample with the Faculty.
• Prepare the Week 15 demo running order, two typed defence prompts and the digital submission check.</t>
        </is>
      </c>
      <c r="O18" s="54" t="inlineStr">
        <is>
          <t>• A room with stable wifi and a Colab-capable laptop for every student; confirmed seat count; power contingency.
• Entry links or QR codes for each variant.
• Second invigilator for any sitting above 40 students.
• Rubric published in Week 11.</t>
        </is>
      </c>
    </row>
    <row r="19" ht="199.5" customHeight="1" s="36">
      <c r="A19" s="46" t="n">
        <v>15</v>
      </c>
      <c r="B19" s="47" t="inlineStr">
        <is>
          <t>Block 5 - Engineering Project</t>
        </is>
      </c>
      <c r="C19" s="47" t="inlineStr">
        <is>
          <t>Engineering ML Demo Day, individual viva and reflection</t>
        </is>
      </c>
      <c r="D19" s="47"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E19" s="47"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F19" s="47"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G19" s="47"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H19" s="47"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I19" s="47" t="inlineStr">
        <is>
          <t>Two individual typed answers about their own repository, submitted with the reflection. Live questions are formative.</t>
        </is>
      </c>
      <c r="J19" s="47" t="inlineStr">
        <is>
          <t>None. Semester 2 pre-reading and an optional holiday challenge are issued for students who want to keep going.</t>
        </is>
      </c>
      <c r="K19" s="47" t="inlineStr">
        <is>
          <t>—</t>
        </is>
      </c>
      <c r="L19" s="47" t="inlineStr">
        <is>
          <t>ENGINEERING ML PROJECT FINAL SUBMISSION (25%). Demo, viva and reflection (10%).</t>
        </is>
      </c>
      <c r="M19" s="47"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N19" s="47"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O19" s="47"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row>
  </sheetData>
  <autoFilter ref="A4:O19"/>
  <mergeCells count="2">
    <mergeCell ref="A2:N2"/>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00000"/>
    <outlinePr summaryBelow="1" summaryRight="1"/>
    <pageSetUpPr fitToPage="0"/>
  </sheetPr>
  <dimension ref="A1:V19"/>
  <sheetViews>
    <sheetView showFormulas="0" showGridLines="1" showRowColHeaders="1" showZeros="1" rightToLeft="0" tabSelected="0" showOutlineSymbols="1" defaultGridColor="1"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28" customWidth="1" style="35" min="2" max="2"/>
    <col width="18" customWidth="1" style="35" min="3" max="3"/>
    <col width="27" customWidth="1" style="35" min="4" max="4"/>
    <col width="9" customWidth="1" style="35" min="5" max="5"/>
    <col width="12" customWidth="1" style="35" min="6" max="6"/>
    <col width="40" customWidth="1" style="35" min="7" max="7"/>
    <col width="34" customWidth="1" style="35" min="8" max="8"/>
    <col width="62" customWidth="1" style="35" min="9" max="9"/>
    <col width="78" customWidth="1" style="35" min="10" max="10"/>
    <col width="56" customWidth="1" style="35" min="11" max="11"/>
    <col width="50" customWidth="1" style="35" min="12" max="12"/>
    <col width="60" customWidth="1" style="35" min="13" max="14"/>
    <col width="56" customWidth="1" style="35" min="15" max="15"/>
    <col width="44" customWidth="1" style="35" min="16" max="16"/>
    <col width="54" customWidth="1" style="35" min="17" max="17"/>
    <col width="40" customWidth="1" style="35" min="18" max="18"/>
    <col width="46" customWidth="1" style="35" min="19" max="19"/>
    <col width="70" customWidth="1" style="35" min="20" max="20"/>
    <col width="52" customWidth="1" style="35" min="21" max="21"/>
    <col width="46" customWidth="1" style="35" min="22" max="22"/>
  </cols>
  <sheetData>
    <row r="1" ht="25.5" customHeight="1" s="36">
      <c r="A1" s="37" t="inlineStr">
        <is>
          <t>Cohort A — Introduction to Machine Learning in Design &amp; Infrastructure</t>
        </is>
      </c>
    </row>
    <row r="2" ht="18" customHeight="1" s="36">
      <c r="A2" s="38" t="inlineStr">
        <is>
          <t>Civil Engineering + Architecture · ~100 students (est. 22 project teams of 4-5) · one 3-hour session per week · 45 contact hours · TUESDAY 11:00-14:00, Room 106</t>
        </is>
      </c>
    </row>
    <row r="3"/>
    <row r="4" ht="43.5" customHeight="1" s="36">
      <c r="A4" s="42" t="inlineStr">
        <is>
          <t>Week</t>
        </is>
      </c>
      <c r="B4" s="42" t="inlineStr">
        <is>
          <t>Block / Phase</t>
        </is>
      </c>
      <c r="C4" s="42" t="inlineStr">
        <is>
          <t>Week commencing</t>
        </is>
      </c>
      <c r="D4" s="42" t="inlineStr">
        <is>
          <t>Session date · time · room</t>
        </is>
      </c>
      <c r="E4" s="42" t="inlineStr">
        <is>
          <t>Cohort</t>
        </is>
      </c>
      <c r="F4" s="42" t="inlineStr">
        <is>
          <t>Course code</t>
        </is>
      </c>
      <c r="G4" s="42" t="inlineStr">
        <is>
          <t>Course title</t>
        </is>
      </c>
      <c r="H4" s="42" t="inlineStr">
        <is>
          <t>Topic</t>
        </is>
      </c>
      <c r="I4" s="42" t="inlineStr">
        <is>
          <t>Learning objectives (by the end of the session, students can…)</t>
        </is>
      </c>
      <c r="J4" s="42" t="inlineStr">
        <is>
          <t>3-hour session structure</t>
        </is>
      </c>
      <c r="K4" s="42" t="inlineStr">
        <is>
          <t>Concepts introduced</t>
        </is>
      </c>
      <c r="L4" s="42" t="inlineStr">
        <is>
          <t>Tools introduced</t>
        </is>
      </c>
      <c r="M4" s="42" t="inlineStr">
        <is>
          <t>Practical / lab</t>
        </is>
      </c>
      <c r="N4" s="42" t="inlineStr">
        <is>
          <t>Dataset(s)</t>
        </is>
      </c>
      <c r="O4" s="42" t="inlineStr">
        <is>
          <t>Interactive challenge</t>
        </is>
      </c>
      <c r="P4" s="42" t="inlineStr">
        <is>
          <t>Assignment (due next session)</t>
        </is>
      </c>
      <c r="Q4" s="42" t="inlineStr">
        <is>
          <t>Weekly quiz (QR, auto-graded)</t>
        </is>
      </c>
      <c r="R4" s="42" t="inlineStr">
        <is>
          <t>Project milestone</t>
        </is>
      </c>
      <c r="S4" s="42" t="inlineStr">
        <is>
          <t>Assessment relevance</t>
        </is>
      </c>
      <c r="T4" s="42" t="inlineStr">
        <is>
          <t>Lecturer preparation</t>
        </is>
      </c>
      <c r="U4" s="42" t="inlineStr">
        <is>
          <t>Required resources</t>
        </is>
      </c>
      <c r="V4" s="42" t="inlineStr">
        <is>
          <t>Shared vs cohort-specific</t>
        </is>
      </c>
    </row>
    <row r="5" ht="219.75" customHeight="1" s="36">
      <c r="A5" s="46" t="n">
        <v>1</v>
      </c>
      <c r="B5" s="47" t="inlineStr">
        <is>
          <t>Block 1 - Orientation &amp; Computational Thinking</t>
        </is>
      </c>
      <c r="C5" s="47" t="inlineStr">
        <is>
          <t>Mon 07 Sep 2026</t>
        </is>
      </c>
      <c r="D5" s="47" t="inlineStr">
        <is>
          <t>Tue 08 Sep 2026
11:00-14:00 · Room 106</t>
        </is>
      </c>
      <c r="E5" s="47" t="inlineStr">
        <is>
          <t>Cohort A</t>
        </is>
      </c>
      <c r="F5" s="47" t="inlineStr">
        <is>
          <t>CML3112</t>
        </is>
      </c>
      <c r="G5" s="47" t="inlineStr">
        <is>
          <t>Introduction to Machine Learning in Design &amp; Infrastructure</t>
        </is>
      </c>
      <c r="H5" s="47" t="inlineStr">
        <is>
          <t>The engineering problem that needs data</t>
        </is>
      </c>
      <c r="I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K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A FRAMING: Framing question for the cohort: 'Can we estimate the 28-day compressive strength of a mix without casting and crushing another cylinder?' Second framing question for the architecture students: 'Can we estimate a building's heating load from its geometry and glazing before it is built?'</t>
        </is>
      </c>
      <c r="N5" s="47" t="inlineStr">
        <is>
          <t>Printed 12-row extract of Concrete Compressive Strength (UCI 165): cement, slag, fly ash, water, superplasticiser, coarse and fine aggregate, age -&gt; compressive strength in MPa. Row 13's strength is withheld for the hand-prediction exercise.</t>
        </is>
      </c>
      <c r="O5" s="47" t="inlineStr">
        <is>
          <t>Problem Hunt (see structure). Deliberately unguided: no template, no worked example. The lecturer only asks questions.</t>
        </is>
      </c>
      <c r="P5" s="47" t="inlineStr">
        <is>
          <t>A1 (one page): 'Three problems, one dataset' - three candidate ML problems from their discipline, the data each would need, and where that data might come from. PLUS the environment install checklist to be completed before Week 2.</t>
        </is>
      </c>
      <c r="Q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47" t="inlineStr">
        <is>
          <t>Project teams formed and registered. Team charter signed (roles, contact, meeting slot, conflict rule).</t>
        </is>
      </c>
      <c r="S5" s="47" t="inlineStr">
        <is>
          <t>A1 contributes to Practical Challenges &amp; Assignments (10%). Marked pass / redo - the point is engagement, not polish.</t>
        </is>
      </c>
      <c r="T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A: Problem Hunt prompt cards for construction, structures, materials, building performance, infrastructure inspection and design optimisation.</t>
        </is>
      </c>
      <c r="U5" s="47" t="inlineStr">
        <is>
          <t>• Projector, whiteboard, marker pens, flipchart or A3 sheets.
• Printed dataset extracts, printed install guide, printed course outline.
• Laptop-access survey (paper, for 100% return).
• No student computers required this week - by design.</t>
        </is>
      </c>
      <c r="V5" s="47" t="inlineStr">
        <is>
          <t>DIVERGENT: anchor dataset, framing questions, Problem Hunt prompts. SHARED: everything else.</t>
        </is>
      </c>
    </row>
    <row r="6" ht="219.75" customHeight="1" s="36">
      <c r="A6" s="48" t="n">
        <v>2</v>
      </c>
      <c r="B6" s="49" t="inlineStr">
        <is>
          <t>Block 1 - Orientation &amp; Computational Thinking</t>
        </is>
      </c>
      <c r="C6" s="49" t="inlineStr">
        <is>
          <t>Mon 14 Sep 2026</t>
        </is>
      </c>
      <c r="D6" s="49" t="inlineStr">
        <is>
          <t>Tue 15 Sep 2026
11:00-14:00 · Room 106</t>
        </is>
      </c>
      <c r="E6" s="49" t="inlineStr">
        <is>
          <t>Cohort A</t>
        </is>
      </c>
      <c r="F6" s="49" t="inlineStr">
        <is>
          <t>CML3112</t>
        </is>
      </c>
      <c r="G6" s="49" t="inlineStr">
        <is>
          <t>Introduction to Machine Learning in Design &amp; Infrastructure</t>
        </is>
      </c>
      <c r="H6" s="49" t="inlineStr">
        <is>
          <t>Colab notebooks and version control</t>
        </is>
      </c>
      <c r="I6" s="49" t="inlineStr">
        <is>
          <t>• Open and run a notebook in Colab.
• Explain cells, kernel state and Restart and Run All.
• Read error messages and repair four simple failures.
• Create a GitHub repository and save a notebook with a useful commit message.</t>
        </is>
      </c>
      <c r="J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K6" s="49" t="inlineStr">
        <is>
          <t>• Cell, kernel, hidden state and reproducibility.
• Working directory and relative path.
• Repository, staging, commit, push and README.</t>
        </is>
      </c>
      <c r="L6" s="49" t="inlineStr">
        <is>
          <t>• Google Colab is the primary route.
• GitHub stores the work and its history.
• Pre-provisioned Jupyter lab machines are the connection fallback.</t>
        </is>
      </c>
      <c r="M6" s="49" t="inlineStr">
        <is>
          <t>Use setup/&lt;cohort&gt;/proof_of_life.ipynb and its four-row CSV. Run, predict repeated execution, restart and run all, then save to GitHub.</t>
        </is>
      </c>
      <c r="N6" s="49" t="inlineStr">
        <is>
          <t>None. A single small CSV is opened only to prove the environment works.</t>
        </is>
      </c>
      <c r="O6" s="49" t="inlineStr">
        <is>
          <t>Repair the four supplied notebooks: unavailable import, wrong Python-version expectation, wrong path and hidden state. Explain each cause in one sentence.</t>
        </is>
      </c>
      <c r="P6" s="49" t="inlineStr">
        <is>
          <t>A2 Proof of Life: submit the repository URL and named notebook through the assignment form. Upload the README; keep the CSV in your repository. See setup/A2_assignment_brief.md. Due at the start of Week 3.</t>
        </is>
      </c>
      <c r="Q6" s="49" t="inlineStr">
        <is>
          <t>QUIZ 2 - notebooks and version control
Out-of-order execution diagnosed from a cell-numbering trace, what Restart and Run All proves, and reading one git status output. A2 separately checks readiness for Week 3.</t>
        </is>
      </c>
      <c r="R6" s="49" t="inlineStr">
        <is>
          <t>Each student has a working notebook and repository. Team collaboration continues from Week 1.</t>
        </is>
      </c>
      <c r="S6" s="49" t="inlineStr">
        <is>
          <t>A2 is one of eleven challenges, best eight contributing 10%. The Week 2 quiz is one of twelve quizzes, best ten contributing 10%.</t>
        </is>
      </c>
      <c r="T6" s="49" t="inlineStr">
        <is>
          <t>• Rehearse Colab sign-in and the lab fallback with a student account.
• Distribute the small cohort ZIP from setup/ before class.
• Run setup/check_setup.py on lab machines.
• Check the Week 2 form and displayed deadline. Brief floor helpers.</t>
        </is>
      </c>
      <c r="U6" s="49" t="inlineStr">
        <is>
          <t>• Laptop or provisioned lab computer, charger, cohort ZIP and a printed copy of setup/README.md.
• USB/local-share copy for connection outages.</t>
        </is>
      </c>
      <c r="V6" s="49" t="inlineStr">
        <is>
          <t>Largely shared — check the Shared vs Divergent sheet.</t>
        </is>
      </c>
    </row>
    <row r="7" ht="219.75" customHeight="1" s="36">
      <c r="A7" s="46" t="n">
        <v>3</v>
      </c>
      <c r="B7" s="47" t="inlineStr">
        <is>
          <t>Block 1 - Orientation &amp; Computational Thinking</t>
        </is>
      </c>
      <c r="C7" s="47" t="inlineStr">
        <is>
          <t>Mon 21 Sep 2026</t>
        </is>
      </c>
      <c r="D7" s="47" t="inlineStr">
        <is>
          <t>Tue 22 Sep 2026
11:00-14:00 · Room 106</t>
        </is>
      </c>
      <c r="E7" s="47" t="inlineStr">
        <is>
          <t>Cohort A</t>
        </is>
      </c>
      <c r="F7" s="47" t="inlineStr">
        <is>
          <t>CML3112</t>
        </is>
      </c>
      <c r="G7" s="47" t="inlineStr">
        <is>
          <t>Introduction to Machine Learning in Design &amp; Infrastructure</t>
        </is>
      </c>
      <c r="H7" s="47" t="inlineStr">
        <is>
          <t>Python as an engineering calculator</t>
        </is>
      </c>
      <c r="I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K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A FRAMING: Formula set: maximum bending moment and mid-span deflection of a simply supported beam under a uniform load; slab concrete volume and reinforcement mass; concrete mix quantities for a target volume; wall U-value from layer resistances; cost per square metre of floor area; window-to-wall ratio.</t>
        </is>
      </c>
      <c r="N7" s="47" t="inlineStr">
        <is>
          <t>No dataset - formula-driven.</t>
        </is>
      </c>
      <c r="O7" s="47" t="inlineStr">
        <is>
          <t>Wrong Answer Hunt - six silently wrong functions. Chosen because 'it ran, therefore it is right' is the single most dangerous belief a beginner can form, and it is fatal later in model evaluation.</t>
        </is>
      </c>
      <c r="P7" s="47" t="inlineStr">
        <is>
          <t>A3: complete the five tasks in practicals/W03/&lt;cohort&gt;/W03_student.ipynb. The broader function library is practice. Submit the named notebook through the assignment form.</t>
        </is>
      </c>
      <c r="Q7" s="47" t="inlineStr">
        <is>
          <t>QUIZ 3 - Python as an engineering calculator
A unit error that returns a plausible wrong number, a function that returns nothing because it prints instead, an if-chain whose branches are in the wrong order, and one traceback.</t>
        </is>
      </c>
      <c r="R7" s="47" t="inlineStr">
        <is>
          <t>Team repository has a working code file and a commit history with more than one contributor.</t>
        </is>
      </c>
      <c r="S7" s="47" t="inlineStr">
        <is>
          <t>A3 contributes to Practical Challenges &amp; Assignments (10%). Function-writing and traceback-reading are directly examined in Practical Test 1 (Week 7).</t>
        </is>
      </c>
      <c r="T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47" t="inlineStr">
        <is>
          <t>• Computers, projector, printed formula sheet for the cohort.
• Printed Python syntax cheat sheet (one page, both sides).
• Wrong Answer Hunt notebook distributed offline via USB or the network share.</t>
        </is>
      </c>
      <c r="V7" s="47" t="inlineStr">
        <is>
          <t>DIVERGENT: the six formulas and the Wrong Answer Hunt unit traps (kN vs N, mm vs m, W/m2K). SHARED: all concepts, structure, challenge design.</t>
        </is>
      </c>
    </row>
    <row r="8" ht="219.75" customHeight="1" s="36">
      <c r="A8" s="48" t="n">
        <v>4</v>
      </c>
      <c r="B8" s="49" t="inlineStr">
        <is>
          <t>Block 1 - Orientation &amp; Computational Thinking</t>
        </is>
      </c>
      <c r="C8" s="49" t="inlineStr">
        <is>
          <t>Mon 28 Sep 2026</t>
        </is>
      </c>
      <c r="D8" s="49" t="inlineStr">
        <is>
          <t>Tue 29 Sep 2026
11:00-14:00 · Room 106</t>
        </is>
      </c>
      <c r="E8" s="49" t="inlineStr">
        <is>
          <t>Cohort A</t>
        </is>
      </c>
      <c r="F8" s="49" t="inlineStr">
        <is>
          <t>CML3112</t>
        </is>
      </c>
      <c r="G8" s="49" t="inlineStr">
        <is>
          <t>Introduction to Machine Learning in Design &amp; Infrastructure</t>
        </is>
      </c>
      <c r="H8" s="49" t="inlineStr">
        <is>
          <t>Python for problem solving: collections, loops and files</t>
        </is>
      </c>
      <c r="I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K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49" t="inlineStr">
        <is>
          <t>• The csv module and open() - deliberately no pandas yet.
• The VS Code debugger on a loop, to watch an accumulator fill.
• Git: incremental commits during the build.</t>
        </is>
      </c>
      <c r="M8" s="49" t="inlineStr">
        <is>
          <t>Reading Report script (see structure). Core tier: handle a clean file. Stretch tier: survive a file containing blank lines, a stray text value in a numeric column and a duplicated header row - which is exactly what Week 6 formalises.</t>
        </is>
      </c>
      <c r="N8" s="49" t="inlineStr">
        <is>
          <t>COURSE-AUTHORED: 'site_inspection_log.csv' (~300 rows) - a fictional but realistic bridge or road inspection log with crack widths, defect ratings, inspection dates, inspector IDs and locations. Contains one genuine finding (a single structure or inspector whose ratings diverge systematically), two red herrings and realistic dirt.</t>
        </is>
      </c>
      <c r="O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49" t="inlineStr">
        <is>
          <t>A4: the Reading Report notebook with four automatically checked summaries. See practicals/W04/&lt;cohort&gt;/README.md. The 150-word interpretation is formative practice.</t>
        </is>
      </c>
      <c r="Q8" s="49" t="inlineStr">
        <is>
          <t>QUIZ 4 - collections, loops and files
An accumulator reset inside the loop, a range off-by-one, a value read from a file as a string, and a skipped-row count that was never reported.</t>
        </is>
      </c>
      <c r="R8" s="49" t="inlineStr">
        <is>
          <t>Each team submits a one-paragraph statement of the kind of engineering problem it wants to work on for the semester (not yet a dataset).</t>
        </is>
      </c>
      <c r="S8" s="49" t="inlineStr">
        <is>
          <t>A4 contributes to Practical Challenges &amp; Assignments (10%). Investigation Lab 1 is the direct rehearsal for Practical Test 1 in Week 7 and establishes the no-spoon-feeding norm.</t>
        </is>
      </c>
      <c r="T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49" t="inlineStr">
        <is>
          <t>• Computers, the Investigation Lab data file distributed offline.
• Printed question-bank cards.
• Timer visible to the room - the pitch round must not overrun.
• Flipchart for the findings pitches.</t>
        </is>
      </c>
      <c r="V8" s="49" t="inlineStr">
        <is>
          <t>DIVERGENT: the Investigation Lab file and its planted story. SHARED: all Python content.</t>
        </is>
      </c>
    </row>
    <row r="9" ht="219.75" customHeight="1" s="36">
      <c r="A9" s="51" t="n">
        <v>5</v>
      </c>
      <c r="B9" s="52" t="inlineStr">
        <is>
          <t>Block 2 - Engineering Data</t>
        </is>
      </c>
      <c r="C9" s="52" t="inlineStr">
        <is>
          <t>Mon 05 Oct 2026</t>
        </is>
      </c>
      <c r="D9" s="52" t="inlineStr">
        <is>
          <t>Tue 06 Oct 2026
11:00-14:00 · Room 106</t>
        </is>
      </c>
      <c r="E9" s="52" t="inlineStr">
        <is>
          <t>Cohort A</t>
        </is>
      </c>
      <c r="F9" s="52" t="inlineStr">
        <is>
          <t>CML3112</t>
        </is>
      </c>
      <c r="G9" s="52" t="inlineStr">
        <is>
          <t>Introduction to Machine Learning in Design &amp; Infrastructure</t>
        </is>
      </c>
      <c r="H9" s="52" t="inlineStr">
        <is>
          <t>NumPy and pandas: the engineer's data table, and where data comes from</t>
        </is>
      </c>
      <c r="I9" s="52"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52"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K9" s="52"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52" t="inlineStr">
        <is>
          <t>• NumPy.
• pandas.
• Kaggle (search, dataset cards, download, public notebooks as worked examples).
• UCI Machine Learning Repository and the ucimlrepo package.
• Jupyter as the primary surface from this week onward.</t>
        </is>
      </c>
      <c r="M9" s="52" t="inlineStr">
        <is>
          <t>Twelve Questions interrogation notebook on the anchor dataset (see structure). Core tier: answer all twelve. Stretch tier: add two questions of their own and answer them.
COHORT A FRAMING: The twelve questions include: how does mean strength vary with curing age band; which mixes achieve above 50 MPa and what do they share; what is the water-to-cement ratio distribution; do high-fly-ash mixes differ in strength; and for Energy Efficiency, how does heating load vary with glazing area and orientation.</t>
        </is>
      </c>
      <c r="N9" s="52" t="inlineStr">
        <is>
          <t>ANCHOR: Concrete Compressive Strength (UCI 165, CC BY 4.0, 1030 rows x 9 columns). SECONDARY for the architecture stream: Energy Efficiency (UCI 242, CC BY 4.0, 768 rows x 8 features, heating and cooling load targets).</t>
        </is>
      </c>
      <c r="O9" s="52" t="inlineStr">
        <is>
          <t>Ten Questions, No Help - a timed, unassisted interrogation of an unfamiliar dataset. Directly calibrates students against the Week 7 test format.</t>
        </is>
      </c>
      <c r="P9" s="52" t="inlineStr">
        <is>
          <t>A5: complete the six automatically checked campus-energy tasks in practicals/W05/&lt;cohort&gt;/W05_student.ipynb. The Twelve Questions anchor-data investigation remains practice.</t>
        </is>
      </c>
      <c r="Q9" s="52" t="inlineStr">
        <is>
          <t>QUIZ 5 - pandas and judging a dataset
A mask confused with a filtered frame, a groupby result whose shape is misread, a dtype of 'object' on a numeric column, and one question on where a dataset came from.</t>
        </is>
      </c>
      <c r="R9" s="52" t="inlineStr">
        <is>
          <t>DATA ANALYSIS PROJECT launched. Each team selects a dataset from the approved list (or proposes one for approval), and registers the engineering question it will answer.</t>
        </is>
      </c>
      <c r="S9" s="52" t="inlineStr">
        <is>
          <t>A5 contributes to Practical Challenges &amp; Assignments (10%). The Data Analysis Project is 10% in its own right. pandas fluency is the core of Practical Test 1 (Week 7).</t>
        </is>
      </c>
      <c r="T9" s="52"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U9" s="52"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52" t="inlineStr">
        <is>
          <t>DIVERGENT: anchor dataset and the twelve questions. SHARED: all pandas and NumPy content, the Kaggle/UCI sourcing segment, the challenge format.</t>
        </is>
      </c>
    </row>
    <row r="10" ht="219.75" customHeight="1" s="36">
      <c r="A10" s="48" t="n">
        <v>6</v>
      </c>
      <c r="B10" s="49" t="inlineStr">
        <is>
          <t>Block 2 - Engineering Data</t>
        </is>
      </c>
      <c r="C10" s="49" t="inlineStr">
        <is>
          <t>Mon 12 Oct 2026</t>
        </is>
      </c>
      <c r="D10" s="49" t="inlineStr">
        <is>
          <t>Tue 13 Oct 2026
11:00-14:00 · Room 106</t>
        </is>
      </c>
      <c r="E10" s="49" t="inlineStr">
        <is>
          <t>Cohort A</t>
        </is>
      </c>
      <c r="F10" s="49" t="inlineStr">
        <is>
          <t>CML3112</t>
        </is>
      </c>
      <c r="G10" s="49" t="inlineStr">
        <is>
          <t>Introduction to Machine Learning in Design &amp; Infrastructure</t>
        </is>
      </c>
      <c r="H10" s="49" t="inlineStr">
        <is>
          <t>Dirty data, and seeing it: data quality through visualisation</t>
        </is>
      </c>
      <c r="I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K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A FRAMING: Outlier Argument cases drawn from construction reality: a 90 MPa strength result, a building with implausibly low energy use, a negative crack width, an inspection dated in the future, and a slab thickness of 2.5 m.</t>
        </is>
      </c>
      <c r="N10" s="49" t="inlineStr">
        <is>
          <t>COURSE-AUTHORED damaged variant of the Concrete or Energy Efficiency dataset, plus a fictional 'building_performance_survey.csv' with zero-coded missing floor areas, duplicated exports, a text value in a numeric column, and two genuinely arguable extreme values (a passive-house outlier and a mis-metered building).</t>
        </is>
      </c>
      <c r="O10" s="49" t="inlineStr">
        <is>
          <t>The Outlier Argument - forces a judgement call with no lookup answer, and rewards domain reasoning over technique.</t>
        </is>
      </c>
      <c r="P10" s="49" t="inlineStr">
        <is>
          <t>A6 / W06: use the issued cohort notebook and TASKS.md in assessment_banks/W06. Complete the cleaning, summary and audit interfaces plus the designated written-evidence cell. The broader Data Clinic and project work are practice and project development.</t>
        </is>
      </c>
      <c r="Q10" s="49" t="inlineStr">
        <is>
          <t>QUIZ 6 - dirty data, and seeing it
A zero-coded missing value, a chart that does not answer the stated question, and an extreme value that has to be judged as an error or a real measurement.</t>
        </is>
      </c>
      <c r="R10" s="49" t="inlineStr">
        <is>
          <t>Data Analysis Project: cleaned dataset and at least four question-driven charts committed to the repository.</t>
        </is>
      </c>
      <c r="S10" s="49" t="inlineStr">
        <is>
          <t>A6 contributes to Practical Challenges &amp; Assignments (10%). Cleaning judgement and chart quality are 40% of the Practical Test 1 rubric.</t>
        </is>
      </c>
      <c r="T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49" t="inlineStr">
        <is>
          <t>• Computers; the damaged dataset offline; seaborn/matplotlib cheat sheet.
• Printed defect register template.
• Practical Test 1 information sheet and rubric for distribution.
• Colour printing or a good projector for the chart-quality comparison.</t>
        </is>
      </c>
      <c r="V10" s="49" t="inlineStr">
        <is>
          <t>DIVERGENT: the damaged dataset and the five outlier cases. SHARED: all cleaning and visualisation content.</t>
        </is>
      </c>
    </row>
    <row r="11" ht="219.75" customHeight="1" s="36">
      <c r="A11" s="53" t="n">
        <v>7</v>
      </c>
      <c r="B11" s="54" t="inlineStr">
        <is>
          <t>ASSESSMENT WEEK 1</t>
        </is>
      </c>
      <c r="C11" s="54" t="inlineStr">
        <is>
          <t>Mon 19 Oct 2026</t>
        </is>
      </c>
      <c r="D11" s="54" t="inlineStr">
        <is>
          <t>Tue 20 Oct 2026
11:00-14:00 · Room 106</t>
        </is>
      </c>
      <c r="E11" s="54" t="inlineStr">
        <is>
          <t>Cohort A</t>
        </is>
      </c>
      <c r="F11" s="54" t="inlineStr">
        <is>
          <t>CML3112</t>
        </is>
      </c>
      <c r="G11" s="54" t="inlineStr">
        <is>
          <t>Introduction to Machine Learning in Design &amp; Infrastructure</t>
        </is>
      </c>
      <c r="H11" s="54" t="inlineStr">
        <is>
          <t>PRACTICAL TEST 1 - Data Investigation (individual, timed Colab practical)</t>
        </is>
      </c>
      <c r="I11" s="54" t="inlineStr">
        <is>
          <t>• Read, inspect and clean an unfamiliar engineering dataset without a prescribed method, and check the result with charts.
• Calculate summary statistics and group means with pandas and report them accurately.
• Write a function that works on any table, and a loop with conditions.
• Explain their own submitted code when asked, without AI or another person's help.</t>
        </is>
      </c>
      <c r="J11" s="54" t="inlineStr">
        <is>
          <t>• 0:00-0:10  Entry link, private notebook and CSV, rules read aloud, identity cell checked.
• 0:10-2:25  CODING (135 minutes). Individual, in Colab. Eight coded tasks: read and inspect the file, a chart before cleaning, cleaning, a chart after cleaning, statistics, grouping, one function, and a loop with conditions.
• 2:25-2:40  CHECKING (15 minutes). Restart the session and Run all.
• 2:40-3:00  FINAL SAVE AND SUBMISSION (20 minutes). Submit test button, generated form link, confirmation.</t>
        </is>
      </c>
      <c r="K11" s="54" t="inlineStr">
        <is>
          <t>• No new concepts. Weeks 1-6 are examined: pandas, cleaning judgement, visualisation, engineering interpretation.
• Examined implicitly: the ability to proceed without instructions.</t>
        </is>
      </c>
      <c r="L11" s="54" t="inlineStr">
        <is>
          <t>• Permitted: Colab, pandas, matplotlib, ordinary Python, and your lecture slides, revision guide, cheatsheet and personal course notes.
• Prohibited: AI tools, help from another person and copied work. Colab cannot block an AI assistant, so the rule rests on the declaration, hidden-data grading and an understanding check in which a student may be asked to explain or change their own code.
• Rationale published to students in Week 6: AI is permitted and encouraged in projects, where the work is explained and defended; it is excluded from the two tests, which certify unaided capability.</t>
        </is>
      </c>
      <c r="M11" s="54" t="inlineStr">
        <is>
          <t>The test is a coding practical in Colab, three hours from the start including setup, checking and submission. Three parallel dataset variants are issued by the entry page, and the deterministic grader re-runs the submitted code on other data.</t>
        </is>
      </c>
      <c r="N11" s="54" t="inlineStr">
        <is>
          <t>UNSEEN test datasets, three matched variants from construction, structural or building performance data. Suggested sources: a held-back subset of Energy Efficiency (UCI 242), Concrete Slump Test (UCI 182 - VERIFY before use), and a course-authored pavement or road condition survey. Variants must be matched for row count, defect count and difficulty.</t>
        </is>
      </c>
      <c r="O11" s="54" t="inlineStr">
        <is>
          <t>The entire assessment is the challenge: an unfamiliar dataset, no prescribed method, and marks awarded for reasoning as much as for result.</t>
        </is>
      </c>
      <c r="P11" s="54" t="inlineStr">
        <is>
          <t>None issued. Week 8 pre-reading only (a two-page primer on the idea of fitting a line), so the test week carries no homework load.</t>
        </is>
      </c>
      <c r="Q11" s="54" t="inlineStr">
        <is>
          <t>—</t>
        </is>
      </c>
      <c r="R11" s="54" t="inlineStr">
        <is>
          <t>Data Analysis Project continues outside class; due Week 8.</t>
        </is>
      </c>
      <c r="S11" s="54" t="inlineStr">
        <is>
          <t>PRACTICAL TEST 1 = 15% of the Semester 1 mark. Individual. Rubric: reading and inspecting 20, chart before cleaning 10, cleaning 20, chart after cleaning 10, statistics 15, grouping 10, one function 5, conditions and a loop 10.</t>
        </is>
      </c>
      <c r="T11" s="54" t="inlineStr">
        <is>
          <t>• Author three parallel dataset variants of matched difficulty, and the hidden data the grader uses.
• Test the entry page, private notebook, countdown, Submit test button and form link with one account for each variant.
• Confirm that every student has a Google account that works with Colab and the submission form.
• The deterministic grader marks all eight tasks, so no structural auto-check script is needed.
• Agree the moderation plan and the late and absent policy with the Faculty in advance.</t>
        </is>
      </c>
      <c r="U11" s="54" t="inlineStr">
        <is>
          <t>• A Colab-capable laptop and a stable connection for every student.
• An entry link or QR code for each variant.
• Published rubric (issued Week 6).
• A short understanding check for a sample of students after the test.</t>
        </is>
      </c>
      <c r="V11" s="54" t="inlineStr">
        <is>
          <t>DIVERGENT: the three dataset variants and their mark schemes. SHARED: format, rules, duration, rubric, issued notebook bundle.</t>
        </is>
      </c>
    </row>
    <row r="12" ht="219.75" customHeight="1" s="36">
      <c r="A12" s="48" t="n">
        <v>8</v>
      </c>
      <c r="B12" s="49" t="inlineStr">
        <is>
          <t>Block 3 - The Machine Learning Core</t>
        </is>
      </c>
      <c r="C12" s="49" t="inlineStr">
        <is>
          <t>Mon 26 Oct 2026</t>
        </is>
      </c>
      <c r="D12" s="49" t="inlineStr">
        <is>
          <t>Tue 27 Oct 2026
11:00-14:00 · Room 106</t>
        </is>
      </c>
      <c r="E12" s="49" t="inlineStr">
        <is>
          <t>Cohort A</t>
        </is>
      </c>
      <c r="F12" s="49" t="inlineStr">
        <is>
          <t>CML3112</t>
        </is>
      </c>
      <c r="G12" s="49" t="inlineStr">
        <is>
          <t>Introduction to Machine Learning in Design &amp; Infrastructure</t>
        </is>
      </c>
      <c r="H12" s="49" t="inlineStr">
        <is>
          <t>Learning from data: the first model</t>
        </is>
      </c>
      <c r="I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K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49" t="inlineStr">
        <is>
          <t>First Model notebook (see structure). Core tier: a working, evaluated regression with the error stated in physical units. Stretch tier: a residual plot with a written interpretation of where the model is worst and a hypothesis as to why.
COHORT A FRAMING: The error must be reported as 'plus or minus X MPa' or 'plus or minus X kWh/m2', and the class must answer: is that good enough to skip a laboratory test, or to size a cooling system? The answer is usually no, which is the most valuable thing they learn this week.</t>
        </is>
      </c>
      <c r="N12" s="49" t="inlineStr">
        <is>
          <t>Concrete Compressive Strength (UCI 165) for the civil stream; Energy Efficiency (UCI 242) for the architecture stream. Both are regression with a physically meaningful error unit - MPa and kWh/m2 respectively.</t>
        </is>
      </c>
      <c r="O12" s="49" t="inlineStr">
        <is>
          <t>Beat the Baseline. The baseline is the pedagogical device: it makes 'R-squared = 0.62' mean something, and it makes an unimpressive model an interesting result rather than a failure.</t>
        </is>
      </c>
      <c r="P12" s="49" t="inlineStr">
        <is>
          <t>A7 / W08: submit the issued cohort notebook with the regression/error interfaces and written interpretation of the supplied comparison. See assessment_banks/W08/&lt;cohort&gt;/A/TASKS.md.</t>
        </is>
      </c>
      <c r="Q12" s="49" t="inlineStr">
        <is>
          <t>QUIZ 7 - the first model
A score quoted on the training rows, a residual plot read the wrong way round, MAE against RMSE on the same data, and a baseline nobody computed.</t>
        </is>
      </c>
      <c r="R12" s="49" t="inlineStr">
        <is>
          <t>DATA ANALYSIS PROJECT DUE (10%). Engineering ML Project brief previewed; teams begin scoping.</t>
        </is>
      </c>
      <c r="S12" s="49" t="inlineStr">
        <is>
          <t>A7 contributes to Practical Challenges (10%). Data Analysis Project is submitted and marked (10%). Regression, metrics and train/test are core to Practical Test 2 (Week 14).</t>
        </is>
      </c>
      <c r="T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49" t="inlineStr">
        <is>
          <t>• Computers; anchor dataset offline; projector.
• Leaderboard display.
• Printed sklearn API card (fit / predict / score / metrics).
• Marked or triaged Test 1 scripts for the debrief.</t>
        </is>
      </c>
      <c r="V12" s="49" t="inlineStr">
        <is>
          <t>DIVERGENT: dataset, target, physical error units, and the 'is it good enough' question. SHARED: all regression and metric content.</t>
        </is>
      </c>
    </row>
    <row r="13" ht="219.75" customHeight="1" s="36">
      <c r="A13" s="46" t="n">
        <v>9</v>
      </c>
      <c r="B13" s="47" t="inlineStr">
        <is>
          <t>Block 3 - The Machine Learning Core</t>
        </is>
      </c>
      <c r="C13" s="47" t="inlineStr">
        <is>
          <t>Mon 02 Nov 2026</t>
        </is>
      </c>
      <c r="D13" s="47" t="inlineStr">
        <is>
          <t>Tue 03 Nov 2026
11:00-14:00 · Room 106</t>
        </is>
      </c>
      <c r="E13" s="47" t="inlineStr">
        <is>
          <t>Cohort A</t>
        </is>
      </c>
      <c r="F13" s="47" t="inlineStr">
        <is>
          <t>CML3112</t>
        </is>
      </c>
      <c r="G13" s="47" t="inlineStr">
        <is>
          <t>Introduction to Machine Learning in Design &amp; Infrastructure</t>
        </is>
      </c>
      <c r="H13" s="47" t="inlineStr">
        <is>
          <t>Classification: predicting which category a case belongs to</t>
        </is>
      </c>
      <c r="I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K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47" t="inlineStr">
        <is>
          <t>• scikit-learn: LogisticRegression, DecisionTreeClassifier, RandomForestClassifier, confusion_matrix, ConfusionMatrixDisplay, classification_report, plot_tree.
• seaborn for the confusion matrix heatmap.
• pandas for the cost table.</t>
        </is>
      </c>
      <c r="M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A FRAMING: Cost table categories: cost of an unnecessary rejection of a concrete pour, cost of accepting a substandard pour, cost of an unnecessary plant inspection, cost of a plant failure on site including delay and safety consequence.</t>
        </is>
      </c>
      <c r="N13" s="47" t="inlineStr">
        <is>
          <t>Two options, both classification. (i) Concrete strength banded into specification classes (below 25, 25-40, above 40 MPa) - the banding decision is itself taught as an engineering choice. (ii) AI4I 2020 Predictive Maintenance (UCI 601, CC BY 4.0, 10,000 rows, 3.4% failure rate) framed as construction plant failure, which supplies a genuine imbalance for The 97% Trap.</t>
        </is>
      </c>
      <c r="O13" s="47" t="inlineStr">
        <is>
          <t>The 97% Trap. Deliberately adversarial. It inoculates students against the single most common failure in applied ML, and it is a low-guidance session by design.</t>
        </is>
      </c>
      <c r="P13" s="47" t="inlineStr">
        <is>
          <t>A8 / W09: submit the issued cohort notebook with classification checks and written interpretation of the supplied cost scenario. See assessment_banks/W09/&lt;cohort&gt;/A/TASKS.md.</t>
        </is>
      </c>
      <c r="Q13" s="47" t="inlineStr">
        <is>
          <t>QUIZ 8 - classification
A confusion matrix read for what the model does badly, an accuracy figure quoted without the class balance, and a threshold moved with its effect on each cell.</t>
        </is>
      </c>
      <c r="R13" s="47" t="inlineStr">
        <is>
          <t>ENGINEERING ML PROJECT launched (25%, runs to Week 15). Teams must register a problem statement, a candidate dataset and a named target variable by Week 10.</t>
        </is>
      </c>
      <c r="S13" s="47" t="inlineStr">
        <is>
          <t>A8 contributes to Practical Challenges (10%). The Engineering ML Project brief and rubric are now live. Classification and metric choice are examined in Practical Test 2.</t>
        </is>
      </c>
      <c r="T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47" t="inlineStr">
        <is>
          <t>DIVERGENT: dataset, class definitions and cost categories. SHARED: all classification content and the 97% Trap design.</t>
        </is>
      </c>
    </row>
    <row r="14" ht="219.75" customHeight="1" s="36">
      <c r="A14" s="48" t="n">
        <v>10</v>
      </c>
      <c r="B14" s="49" t="inlineStr">
        <is>
          <t>Block 3 - The Machine Learning Core</t>
        </is>
      </c>
      <c r="C14" s="49" t="inlineStr">
        <is>
          <t>Mon 09 Nov 2026</t>
        </is>
      </c>
      <c r="D14" s="49" t="inlineStr">
        <is>
          <t>Tue 10 Nov 2026
11:00-14:00 · Room 106</t>
        </is>
      </c>
      <c r="E14" s="49" t="inlineStr">
        <is>
          <t>Cohort A</t>
        </is>
      </c>
      <c r="F14" s="49" t="inlineStr">
        <is>
          <t>CML3112</t>
        </is>
      </c>
      <c r="G14" s="49" t="inlineStr">
        <is>
          <t>Introduction to Machine Learning in Design &amp; Infrastructure</t>
        </is>
      </c>
      <c r="H14" s="49" t="inlineStr">
        <is>
          <t>Can I trust this model?</t>
        </is>
      </c>
      <c r="I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K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49" t="inlineStr">
        <is>
          <t>The team's own project dataset, plus three course-authored 'Too Good To Be True' notebooks. Planted causes for this cohort: a 28-day strength column left in the features while predicting strength class; duplicated mix records spanning the split; and a specimen ID that encodes the batch and therefore the target.</t>
        </is>
      </c>
      <c r="O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49" t="inlineStr">
        <is>
          <t>A9 / W10: submit the issued cohort notebook with group-split/preprocessing checks and written leakage/conditions-of-use evidence. The broader project Trust Lab remains project development.</t>
        </is>
      </c>
      <c r="Q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49" t="inlineStr">
        <is>
          <t>PROJECT MILESTONE 1 (graded milestone): problem statement, dataset with licence, named target, and a baseline notebook. Each member's contribution log must be present in the repository.</t>
        </is>
      </c>
      <c r="S14" s="49" t="inlineStr">
        <is>
          <t>A9 contributes to Practical Challenges (10%). PM1 is a graded milestone within the Engineering ML Project (25%). Validation carries 15 of the 100 marks in the project rubric, and leakage control carries 20 of the 100 marks in the Practical Test 2 rubric.</t>
        </is>
      </c>
      <c r="T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49" t="inlineStr">
        <is>
          <t>• Computers; the three challenge notebooks offline; projector.
• Printed PM1 checklist and contribution log template.
• Printed leakage taxonomy card (four kinds, one example each).
• Timer for the PM1 stand-ups.</t>
        </is>
      </c>
      <c r="V14" s="49" t="inlineStr">
        <is>
          <t>DIVERGENT: the planted leakage causes are dressed in construction terms. SHARED: all validation content.</t>
        </is>
      </c>
    </row>
    <row r="15" ht="219.75" customHeight="1" s="36">
      <c r="A15" s="46" t="n">
        <v>11</v>
      </c>
      <c r="B15" s="47" t="inlineStr">
        <is>
          <t>Block 4 - Practical Machine Learning Judgement</t>
        </is>
      </c>
      <c r="C15" s="47" t="inlineStr">
        <is>
          <t>Mon 16 Nov 2026</t>
        </is>
      </c>
      <c r="D15" s="47" t="inlineStr">
        <is>
          <t>Tue 17 Nov 2026
11:00-14:00 · Room 106</t>
        </is>
      </c>
      <c r="E15" s="47" t="inlineStr">
        <is>
          <t>Cohort A</t>
        </is>
      </c>
      <c r="F15" s="47" t="inlineStr">
        <is>
          <t>CML3112</t>
        </is>
      </c>
      <c r="G15" s="47" t="inlineStr">
        <is>
          <t>Introduction to Machine Learning in Design &amp; Infrastructure</t>
        </is>
      </c>
      <c r="H15" s="47" t="inlineStr">
        <is>
          <t>Features: where engineering knowledge enters the model</t>
        </is>
      </c>
      <c r="I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K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A FRAMING: Domain features that should be engineered: water-to-cement ratio, aggregate-to-cement ratio, total binder content, fly ash as a proportion of binder, log of curing age, surface-area-to-volume ratio, window-to-wall ratio, and glazing area weighted by orientation. The water-to-cement ratio is the demonstration feature - it is a century-old piece of concrete technology that outperforms the raw component masses, which is exactly the point of the week.</t>
        </is>
      </c>
      <c r="N15" s="47" t="inlineStr">
        <is>
          <t>Concrete Compressive Strength (UCI 165) and Energy Efficiency (UCI 242).</t>
        </is>
      </c>
      <c r="O15" s="47" t="inlineStr">
        <is>
          <t>Domain Advantage - a controlled experiment run by the students on themselves, comparing raw data plus a better algorithm against domain knowledge plus a simple algorithm.</t>
        </is>
      </c>
      <c r="P15" s="47" t="inlineStr">
        <is>
          <t>A10 / W11: submit the issued cohort notebook with feature/error checks and written interpretation of the supplied ablation. Extend the method to your project separately.</t>
        </is>
      </c>
      <c r="Q15" s="47" t="inlineStr">
        <is>
          <t>QUIZ 10 - features
An ablation table read for which feature earned its place, a one-hot encoding on a high-cardinality column, and a scaler that made no difference to a tree.</t>
        </is>
      </c>
      <c r="R15" s="47" t="inlineStr">
        <is>
          <t>PROJECT MILESTONE 2 briefed this week and due at the start of Week 12 (graded milestone): cleaned dataset, feature dictionary, and a first properly evaluated model inside a Pipeline.</t>
        </is>
      </c>
      <c r="S15" s="47" t="inlineStr">
        <is>
          <t>A10 contributes to Practical Challenges (10%). PM2 is a graded milestone within the project (25%). Engineering reasoning carries 20 of the 100 project marks, and feature construction is where it is most visible.</t>
        </is>
      </c>
      <c r="T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47" t="inlineStr">
        <is>
          <t>DIVERGENT: the feature set and the standards reference sheet (relevant concrete and building-envelope codes). SHARED: all encoding, scaling, pipeline and ablation content.</t>
        </is>
      </c>
    </row>
    <row r="16" ht="219.75" customHeight="1" s="36">
      <c r="A16" s="48" t="n">
        <v>12</v>
      </c>
      <c r="B16" s="49" t="inlineStr">
        <is>
          <t>Block 4 - Practical Machine Learning Judgement</t>
        </is>
      </c>
      <c r="C16" s="49" t="inlineStr">
        <is>
          <t>Mon 23 Nov 2026</t>
        </is>
      </c>
      <c r="D16" s="49" t="inlineStr">
        <is>
          <t>Tue 24 Nov 2026
11:00-14:00 · Room 106</t>
        </is>
      </c>
      <c r="E16" s="49" t="inlineStr">
        <is>
          <t>Cohort A</t>
        </is>
      </c>
      <c r="F16" s="49" t="inlineStr">
        <is>
          <t>CML3112</t>
        </is>
      </c>
      <c r="G16" s="49" t="inlineStr">
        <is>
          <t>Introduction to Machine Learning in Design &amp; Infrastructure</t>
        </is>
      </c>
      <c r="H16" s="49" t="inlineStr">
        <is>
          <t>Model comparison and engineering judgement (low-guidance week)</t>
        </is>
      </c>
      <c r="I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K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49" t="inlineStr">
        <is>
          <t>An unfamiliar construction or building dataset with a client brief. Suggested: a road roughness or pavement condition dataset, or a construction cost dataset (both to be sourced and VERIFIED in the week before use). The client brief should require that the recommendation be explainable to a client or a regulator, which forces the interpretability trade-off to bite.</t>
        </is>
      </c>
      <c r="O16" s="49" t="inlineStr">
        <is>
          <t>Choose a Model and Defend It, plus the adversarial Defence Round. This is the week that most directly rehearses professional engineering practice, and the least guided session before the test.</t>
        </is>
      </c>
      <c r="P16" s="49" t="inlineStr">
        <is>
          <t>A11 / W12: submit the issued cohort notebook with selection/error checks and written reasoning about the supplied constraints. The in-class recommendation and live defence are practice. This is the last weekly challenge.</t>
        </is>
      </c>
      <c r="Q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49" t="inlineStr">
        <is>
          <t>PROJECT MILESTONE 3 briefed this week and due at the start of Week 13 (graded milestone): a model comparison table for the team's own project, with a justified selection.</t>
        </is>
      </c>
      <c r="S16" s="49" t="inlineStr">
        <is>
          <t>A11 contributes to Practical Challenges (10%) and is graded in-session. PM3 is a graded milestone within the project (25%). This session is the closest rehearsal for Practical Test 2.</t>
        </is>
      </c>
      <c r="T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49" t="inlineStr">
        <is>
          <t>• Computers; challenge dataset offline; printed client briefs.
• Printed question-bank cards and recommendation template.
• Room layout allowing team-to-team defence (movable seating strongly preferred).
• Timer and a visible protocol poster.</t>
        </is>
      </c>
      <c r="V16" s="49" t="inlineStr">
        <is>
          <t>DIVERGENT: challenge dataset and client brief. SHARED: protocol, defence round, criteria.</t>
        </is>
      </c>
    </row>
    <row r="17" ht="219.75" customHeight="1" s="36">
      <c r="A17" s="46" t="n">
        <v>13</v>
      </c>
      <c r="B17" s="47" t="inlineStr">
        <is>
          <t>Block 5 - Engineering Project</t>
        </is>
      </c>
      <c r="C17" s="47" t="inlineStr">
        <is>
          <t>Mon 30 Nov 2026</t>
        </is>
      </c>
      <c r="D17" s="47" t="inlineStr">
        <is>
          <t>Tue 01 Dec 2026
11:00-14:00 · Room 106</t>
        </is>
      </c>
      <c r="E17" s="47" t="inlineStr">
        <is>
          <t>Cohort A</t>
        </is>
      </c>
      <c r="F17" s="47" t="inlineStr">
        <is>
          <t>CML3112</t>
        </is>
      </c>
      <c r="G17" s="47" t="inlineStr">
        <is>
          <t>Introduction to Machine Learning in Design &amp; Infrastructure</t>
        </is>
      </c>
      <c r="H17" s="47" t="inlineStr">
        <is>
          <t>Project studio: reproducibility, communication and peer review</t>
        </is>
      </c>
      <c r="I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K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47" t="inlineStr">
        <is>
          <t>Studio build plus the peer review round. Deliverable: a repository that passes restart-and-run-all, a complete README, requirements.txt, a contribution log, and a received peer review with a written response to it.</t>
        </is>
      </c>
      <c r="N17" s="47" t="inlineStr">
        <is>
          <t>The team's own project dataset.</t>
        </is>
      </c>
      <c r="O17" s="47" t="inlineStr">
        <is>
          <t>The peer review itself. Teams discover that reviewing is harder than building, and they find their own defects in someone else's repository.</t>
        </is>
      </c>
      <c r="P17" s="47" t="inlineStr">
        <is>
          <t>No new assignment - project work only, deliberately, so the week before the test carries no extra load.</t>
        </is>
      </c>
      <c r="Q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47" t="inlineStr">
        <is>
          <t>PROJECT MILESTONE 4: repository freeze candidate, restart-and-run-all passing, peer review received and responded to.</t>
        </is>
      </c>
      <c r="S17" s="47" t="inlineStr">
        <is>
          <t>PM4 feeds the Reproducibility and documentation (5%) and Communication (10%) criteria of the project rubric, and the whole session prepares the Week 15 demo. Practical Test 2 is briefed here.</t>
        </is>
      </c>
      <c r="T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47" t="inlineStr">
        <is>
          <t>• Computers; movable seating; printed clinic booking sheet and repository checklist.
• Printed peer review forms.
• Two assistants or floor helpers if the cohort exceeds 60 students.
• Practical Test 2 information sheet.</t>
        </is>
      </c>
      <c r="V17" s="47" t="inlineStr">
        <is>
          <t>FULLY SHARED. Reproducibility, README standards and peer review are identical across all three cohorts. Prepare once.</t>
        </is>
      </c>
    </row>
    <row r="18" ht="219.75" customHeight="1" s="36">
      <c r="A18" s="53" t="n">
        <v>14</v>
      </c>
      <c r="B18" s="54" t="inlineStr">
        <is>
          <t>ASSESSMENT WEEK 2</t>
        </is>
      </c>
      <c r="C18" s="54" t="inlineStr">
        <is>
          <t>Mon 07 Dec 2026</t>
        </is>
      </c>
      <c r="D18" s="54" t="inlineStr">
        <is>
          <t>Tue 08 Dec 2026
11:00-14:00 · Room 106</t>
        </is>
      </c>
      <c r="E18" s="54" t="inlineStr">
        <is>
          <t>Cohort A</t>
        </is>
      </c>
      <c r="F18" s="54" t="inlineStr">
        <is>
          <t>CML3112</t>
        </is>
      </c>
      <c r="G18" s="54" t="inlineStr">
        <is>
          <t>Introduction to Machine Learning in Design &amp; Infrastructure</t>
        </is>
      </c>
      <c r="H18" s="54" t="inlineStr">
        <is>
          <t>PRACTICAL TEST 2 - End-to-End Engineering Machine Learning (individual, timed Colab practical)</t>
        </is>
      </c>
      <c r="I18" s="54" t="inlineStr">
        <is>
          <t>• Split data by whole equipment groups and fit models on training rows only.
• Compare a baseline, a straight line, a tree, a ridge curve and nearest neighbours on the same validation rows.
• Count classification outcomes and work out a cost, and run cross-validation by group.
• Test whether an extra input helps, and choose a model inside stated limits.
• Explain the choices: sealed test rows, training-only fill values, scaling and the ridge penalty.</t>
        </is>
      </c>
      <c r="J18" s="54" t="inlineStr">
        <is>
          <t>• 0:00-0:15  Entry page, notebook and CSV downloaded, rules read aloud, identity cell checked.
• 0:15-2:15  CODING (120 minutes). Individual, in Colab. Eight functions covering Weeks 8 to 13, from group_split to ridge_and_knn. The notebook states the columns, return formats and marks.
• 2:15-2:40  INTERPRETATION AND CHECKING (25 minutes). Six scenario choices recorded in DECISIONS, then Restart and Run all.
• 2:40-3:00  FINAL SAVE AND SUBMISSION (20 minutes). Submit test button, generated form link, confirmation. Week 15 demo running order confirmed.</t>
        </is>
      </c>
      <c r="K18" s="54" t="inlineStr">
        <is>
          <t>• No new concepts. Weeks 8-13 are examined: supervised learning, validation, leakage, features, model comparison and engineering interpretation.</t>
        </is>
      </c>
      <c r="L18" s="54" t="inlineStr">
        <is>
          <t>• Permitted: Colab, the submission form and any other resource the invigilator announces.
• Prohibited: AI assistants, messaging and copied answers.
• The notebook explains the columns and return formats, so the test examines judgement rather than memory of parameter names.</t>
        </is>
      </c>
      <c r="M18" s="54" t="inlineStr">
        <is>
          <t>The test is a coding practical in Colab, three hours from the start including setup, checking and submission. Three parallel dataset variants are issued by the entry page, and the deterministic grader re-runs the submitted code on other data.</t>
        </is>
      </c>
      <c r="N18" s="54" t="inlineStr">
        <is>
          <t>UNSEEN test datasets, three matched variants from the construction, structural or building performance domain. Must be genuinely unfamiliar and must support at least two model families.</t>
        </is>
      </c>
      <c r="O18" s="54" t="inlineStr">
        <is>
          <t>The whole assessment. An unfamiliar dataset, no prescribed method, and a rubric that awards more marks for reasoning and interpretation than for the score achieved.</t>
        </is>
      </c>
      <c r="P18" s="54" t="inlineStr">
        <is>
          <t>None. Final project preparation only.</t>
        </is>
      </c>
      <c r="Q18" s="54" t="inlineStr">
        <is>
          <t>—</t>
        </is>
      </c>
      <c r="R18" s="54" t="inlineStr">
        <is>
          <t>Engineering ML Project: final build week outside class. Repository and two-page brief due at the Week 15 session.</t>
        </is>
      </c>
      <c r="S18" s="54" t="inlineStr">
        <is>
          <t>PRACTICAL TEST 2 = 20% of the Semester 1 mark. Individual. Rubric: group split 10, baseline, linear and tree predictions 15, MAE and RMSE 5, classification and cost 10, group cross-validation 10, feature ablation 10, model selection 10, ridge and nearest neighbours 15, six interpretation choices 15.</t>
        </is>
      </c>
      <c r="T18" s="54" t="inlineStr">
        <is>
          <t>• Author three parallel dataset variants of matched difficulty, each with a reference solution. The grader re-runs submitted code on unseen data.
• Test the entry page, notebook download, Submit test button and form link with one account for each variant.
• Confirm sittings, invigilators and Colab capacity with the Faculty. Cohort A is about 100 students.
• Agree the moderation sample with the Faculty.
• Prepare the Week 15 demo running order, two typed defence prompts and the digital submission check.</t>
        </is>
      </c>
      <c r="U18" s="54" t="inlineStr">
        <is>
          <t>• A room with stable wifi and a Colab-capable laptop for every student; confirmed seat count; power contingency.
• Entry links or QR codes for each variant.
• Second invigilator for any sitting above 40 students.
• Rubric published in Week 11.</t>
        </is>
      </c>
      <c r="V18" s="54" t="inlineStr">
        <is>
          <t>DIVERGENT: the three dataset variants and their mark schemes. SHARED: format, rules, duration, rubric.</t>
        </is>
      </c>
    </row>
    <row r="19" ht="219.75" customHeight="1" s="36">
      <c r="A19" s="51" t="n">
        <v>15</v>
      </c>
      <c r="B19" s="52" t="inlineStr">
        <is>
          <t>Block 5 - Engineering Project</t>
        </is>
      </c>
      <c r="C19" s="52" t="inlineStr">
        <is>
          <t>Mon 14 Dec 2026</t>
        </is>
      </c>
      <c r="D19" s="52" t="inlineStr">
        <is>
          <t>Tue 15 Dec 2026
11:00-14:00 · Room 106</t>
        </is>
      </c>
      <c r="E19" s="52" t="inlineStr">
        <is>
          <t>Cohort A</t>
        </is>
      </c>
      <c r="F19" s="52" t="inlineStr">
        <is>
          <t>CML3112</t>
        </is>
      </c>
      <c r="G19" s="52" t="inlineStr">
        <is>
          <t>Introduction to Machine Learning in Design &amp; Infrastructure</t>
        </is>
      </c>
      <c r="H19" s="52" t="inlineStr">
        <is>
          <t>Engineering ML Demo Day, individual viva and reflection</t>
        </is>
      </c>
      <c r="I19" s="52"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52"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K19" s="52"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52"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M19" s="52"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N19" s="52" t="inlineStr">
        <is>
          <t>Team-selected. Example project titles for this cohort: Building Energy Predictor; Concrete Strength Estimator with a stated confidence range; Pavement Deterioration Forecast; Construction Cost Estimator; Infrastructure Defect Classifier; Design Option Screener.</t>
        </is>
      </c>
      <c r="O19" s="52" t="inlineStr">
        <is>
          <t>Two individual typed answers about their own repository, submitted with the reflection. Live questions are formative.</t>
        </is>
      </c>
      <c r="P19" s="52" t="inlineStr">
        <is>
          <t>None. Semester 2 pre-reading and an optional holiday challenge are issued for students who want to keep going.</t>
        </is>
      </c>
      <c r="Q19" s="52" t="inlineStr">
        <is>
          <t>—</t>
        </is>
      </c>
      <c r="R19" s="52" t="inlineStr">
        <is>
          <t>ENGINEERING ML PROJECT FINAL SUBMISSION (25%). Demo, viva and reflection (10%).</t>
        </is>
      </c>
      <c r="S19" s="52"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T19" s="52"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52"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c r="V19" s="52" t="inlineStr">
        <is>
          <t>DIVERGENT: project titles and invited assessors (invite a structural or building services engineer). SHARED: demo format, viva bank structure, rubric.</t>
        </is>
      </c>
    </row>
  </sheetData>
  <autoFilter ref="A4:V19"/>
  <mergeCells count="2">
    <mergeCell ref="A1:T1"/>
    <mergeCell ref="A2:T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BF8F00"/>
    <outlinePr summaryBelow="1" summaryRight="1"/>
    <pageSetUpPr fitToPage="0"/>
  </sheetPr>
  <dimension ref="A1:V19"/>
  <sheetViews>
    <sheetView showFormulas="0" showGridLines="1" showRowColHeaders="1" showZeros="1" rightToLeft="0" tabSelected="0" showOutlineSymbols="1" defaultGridColor="1"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28" customWidth="1" style="35" min="2" max="2"/>
    <col width="18" customWidth="1" style="35" min="3" max="3"/>
    <col width="27" customWidth="1" style="35" min="4" max="4"/>
    <col width="9" customWidth="1" style="35" min="5" max="5"/>
    <col width="12" customWidth="1" style="35" min="6" max="6"/>
    <col width="40" customWidth="1" style="35" min="7" max="7"/>
    <col width="34" customWidth="1" style="35" min="8" max="8"/>
    <col width="62" customWidth="1" style="35" min="9" max="9"/>
    <col width="78" customWidth="1" style="35" min="10" max="10"/>
    <col width="56" customWidth="1" style="35" min="11" max="11"/>
    <col width="50" customWidth="1" style="35" min="12" max="12"/>
    <col width="60" customWidth="1" style="35" min="13" max="14"/>
    <col width="56" customWidth="1" style="35" min="15" max="15"/>
    <col width="44" customWidth="1" style="35" min="16" max="16"/>
    <col width="54" customWidth="1" style="35" min="17" max="17"/>
    <col width="40" customWidth="1" style="35" min="18" max="18"/>
    <col width="46" customWidth="1" style="35" min="19" max="19"/>
    <col width="70" customWidth="1" style="35" min="20" max="20"/>
    <col width="52" customWidth="1" style="35" min="21" max="21"/>
    <col width="46" customWidth="1" style="35" min="22" max="22"/>
  </cols>
  <sheetData>
    <row r="1" ht="25.5" customHeight="1" s="36">
      <c r="A1" s="37" t="inlineStr">
        <is>
          <t>Cohort B — Introduction to Machine Learning in Mining &amp; Petroleum Engineering</t>
        </is>
      </c>
    </row>
    <row r="2" ht="18" customHeight="1" s="36">
      <c r="A2" s="38" t="inlineStr">
        <is>
          <t>Petroleum Engineering + Mining Engineering · ~40-50 students (est. 10 project teams of 4-5) · one 3-hour session per week · 45 contact hours · FRIDAY 08:00-11:00, Room 105</t>
        </is>
      </c>
    </row>
    <row r="3"/>
    <row r="4" ht="43.5" customHeight="1" s="36">
      <c r="A4" s="42" t="inlineStr">
        <is>
          <t>Week</t>
        </is>
      </c>
      <c r="B4" s="42" t="inlineStr">
        <is>
          <t>Block / Phase</t>
        </is>
      </c>
      <c r="C4" s="42" t="inlineStr">
        <is>
          <t>Week commencing</t>
        </is>
      </c>
      <c r="D4" s="42" t="inlineStr">
        <is>
          <t>Session date · time · room</t>
        </is>
      </c>
      <c r="E4" s="42" t="inlineStr">
        <is>
          <t>Cohort</t>
        </is>
      </c>
      <c r="F4" s="42" t="inlineStr">
        <is>
          <t>Course code</t>
        </is>
      </c>
      <c r="G4" s="42" t="inlineStr">
        <is>
          <t>Course title</t>
        </is>
      </c>
      <c r="H4" s="42" t="inlineStr">
        <is>
          <t>Topic</t>
        </is>
      </c>
      <c r="I4" s="42" t="inlineStr">
        <is>
          <t>Learning objectives (by the end of the session, students can…)</t>
        </is>
      </c>
      <c r="J4" s="42" t="inlineStr">
        <is>
          <t>3-hour session structure</t>
        </is>
      </c>
      <c r="K4" s="42" t="inlineStr">
        <is>
          <t>Concepts introduced</t>
        </is>
      </c>
      <c r="L4" s="42" t="inlineStr">
        <is>
          <t>Tools introduced</t>
        </is>
      </c>
      <c r="M4" s="42" t="inlineStr">
        <is>
          <t>Practical / lab</t>
        </is>
      </c>
      <c r="N4" s="42" t="inlineStr">
        <is>
          <t>Dataset(s)</t>
        </is>
      </c>
      <c r="O4" s="42" t="inlineStr">
        <is>
          <t>Interactive challenge</t>
        </is>
      </c>
      <c r="P4" s="42" t="inlineStr">
        <is>
          <t>Assignment (due next session)</t>
        </is>
      </c>
      <c r="Q4" s="42" t="inlineStr">
        <is>
          <t>Weekly quiz (QR, auto-graded)</t>
        </is>
      </c>
      <c r="R4" s="42" t="inlineStr">
        <is>
          <t>Project milestone</t>
        </is>
      </c>
      <c r="S4" s="42" t="inlineStr">
        <is>
          <t>Assessment relevance</t>
        </is>
      </c>
      <c r="T4" s="42" t="inlineStr">
        <is>
          <t>Lecturer preparation</t>
        </is>
      </c>
      <c r="U4" s="42" t="inlineStr">
        <is>
          <t>Required resources</t>
        </is>
      </c>
      <c r="V4" s="42" t="inlineStr">
        <is>
          <t>Shared vs cohort-specific</t>
        </is>
      </c>
    </row>
    <row r="5" ht="219.75" customHeight="1" s="36">
      <c r="A5" s="46" t="n">
        <v>1</v>
      </c>
      <c r="B5" s="47" t="inlineStr">
        <is>
          <t>Block 1 - Orientation &amp; Computational Thinking</t>
        </is>
      </c>
      <c r="C5" s="47" t="inlineStr">
        <is>
          <t>Mon 07 Sep 2026</t>
        </is>
      </c>
      <c r="D5" s="47" t="inlineStr">
        <is>
          <t>Fri 11 Sep 2026
08:00-11:00 · Room 105</t>
        </is>
      </c>
      <c r="E5" s="47" t="inlineStr">
        <is>
          <t>Cohort B</t>
        </is>
      </c>
      <c r="F5" s="47" t="inlineStr">
        <is>
          <t>CML3113</t>
        </is>
      </c>
      <c r="G5" s="47" t="inlineStr">
        <is>
          <t>Introduction to Machine Learning in Mining &amp; Petroleum Engineering</t>
        </is>
      </c>
      <c r="H5" s="47" t="inlineStr">
        <is>
          <t>The engineering problem that needs data</t>
        </is>
      </c>
      <c r="I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K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B FRAMING: Framing question for the mining stream: 'The silica assay takes an hour to come back from the laboratory. Can we know it now, from the process variables we already measure?' Framing question for the petroleum stream: 'Can we predict lithology or production from logs we already have, without drilling again?'</t>
        </is>
      </c>
      <c r="N5" s="47" t="inlineStr">
        <is>
          <t>Printed 12-row extract of the froth flotation process data (Kaggle, 'Quality Prediction in a Mining Process'): iron and silica feed grades, starch and amina flow, pulp pH and density, column air flow and level -&gt; percentage silica in the concentrate. Row 13's silica is withheld.</t>
        </is>
      </c>
      <c r="O5" s="47" t="inlineStr">
        <is>
          <t>Problem Hunt (see structure). Deliberately unguided: no template, no worked example. The lecturer only asks questions.</t>
        </is>
      </c>
      <c r="P5" s="47" t="inlineStr">
        <is>
          <t>A1 (one page): 'Three problems, one dataset' - three candidate ML problems from their discipline, the data each would need, and where that data might come from. PLUS the environment install checklist to be completed before Week 2.</t>
        </is>
      </c>
      <c r="Q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47" t="inlineStr">
        <is>
          <t>Project teams formed and registered. Team charter signed (roles, contact, meeting slot, conflict rule).</t>
        </is>
      </c>
      <c r="S5" s="47" t="inlineStr">
        <is>
          <t>A1 contributes to Practical Challenges &amp; Assignments (10%). Marked pass / redo - the point is engagement, not polish.</t>
        </is>
      </c>
      <c r="T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B: Problem Hunt prompt cards for exploration, ore and mineral classification, reservoir characterisation, production, drilling, equipment health, safety and operational optimisation.</t>
        </is>
      </c>
      <c r="U5" s="47" t="inlineStr">
        <is>
          <t>• Projector, whiteboard, marker pens, flipchart or A3 sheets.
• Printed dataset extracts, printed install guide, printed course outline.
• Laptop-access survey (paper, for 100% return).
• No student computers required this week - by design.</t>
        </is>
      </c>
      <c r="V5" s="47" t="inlineStr">
        <is>
          <t>DIVERGENT: anchor dataset, framing questions, Problem Hunt prompts. SHARED: everything else.</t>
        </is>
      </c>
    </row>
    <row r="6" ht="219.75" customHeight="1" s="36">
      <c r="A6" s="48" t="n">
        <v>2</v>
      </c>
      <c r="B6" s="49" t="inlineStr">
        <is>
          <t>Block 1 - Orientation &amp; Computational Thinking</t>
        </is>
      </c>
      <c r="C6" s="49" t="inlineStr">
        <is>
          <t>Mon 14 Sep 2026</t>
        </is>
      </c>
      <c r="D6" s="49" t="inlineStr">
        <is>
          <t>Fri 18 Sep 2026
08:00-11:00 · Room 105</t>
        </is>
      </c>
      <c r="E6" s="49" t="inlineStr">
        <is>
          <t>Cohort B</t>
        </is>
      </c>
      <c r="F6" s="49" t="inlineStr">
        <is>
          <t>CML3113</t>
        </is>
      </c>
      <c r="G6" s="49" t="inlineStr">
        <is>
          <t>Introduction to Machine Learning in Mining &amp; Petroleum Engineering</t>
        </is>
      </c>
      <c r="H6" s="49" t="inlineStr">
        <is>
          <t>Colab notebooks and version control</t>
        </is>
      </c>
      <c r="I6" s="49" t="inlineStr">
        <is>
          <t>• Open and run a notebook in Colab.
• Explain cells, kernel state and Restart and Run All.
• Read error messages and repair four simple failures.
• Create a GitHub repository and save a notebook with a useful commit message.</t>
        </is>
      </c>
      <c r="J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K6" s="49" t="inlineStr">
        <is>
          <t>• Cell, kernel, hidden state and reproducibility.
• Working directory and relative path.
• Repository, staging, commit, push and README.</t>
        </is>
      </c>
      <c r="L6" s="49" t="inlineStr">
        <is>
          <t>• Google Colab is the primary route.
• GitHub stores the work and its history.
• Pre-provisioned Jupyter lab machines are the connection fallback.</t>
        </is>
      </c>
      <c r="M6" s="49" t="inlineStr">
        <is>
          <t>Use setup/&lt;cohort&gt;/proof_of_life.ipynb and its four-row CSV. Run, predict repeated execution, restart and run all, then save to GitHub.</t>
        </is>
      </c>
      <c r="N6" s="49" t="inlineStr">
        <is>
          <t>None. A single small CSV is opened only to prove the environment works.</t>
        </is>
      </c>
      <c r="O6" s="49" t="inlineStr">
        <is>
          <t>Repair the four supplied notebooks: unavailable import, wrong Python-version expectation, wrong path and hidden state. Explain each cause in one sentence.</t>
        </is>
      </c>
      <c r="P6" s="49" t="inlineStr">
        <is>
          <t>A2 Proof of Life: submit the repository URL and named notebook through the assignment form. Upload the README; keep the CSV in your repository. See setup/A2_assignment_brief.md. Due at the start of Week 3.</t>
        </is>
      </c>
      <c r="Q6" s="49" t="inlineStr">
        <is>
          <t>QUIZ 2 - notebooks and version control
Out-of-order execution diagnosed from a cell-numbering trace, what Restart and Run All proves, and reading one git status output. A2 separately checks readiness for Week 3.</t>
        </is>
      </c>
      <c r="R6" s="49" t="inlineStr">
        <is>
          <t>Each student has a working notebook and repository. Team collaboration continues from Week 1.</t>
        </is>
      </c>
      <c r="S6" s="49" t="inlineStr">
        <is>
          <t>A2 is one of eleven challenges, best eight contributing 10%. The Week 2 quiz is one of twelve quizzes, best ten contributing 10%.</t>
        </is>
      </c>
      <c r="T6" s="49" t="inlineStr">
        <is>
          <t>• Rehearse Colab sign-in and the lab fallback with a student account.
• Distribute the small cohort ZIP from setup/ before class.
• Run setup/check_setup.py on lab machines.
• Check the Week 2 form and displayed deadline. Brief floor helpers.</t>
        </is>
      </c>
      <c r="U6" s="49" t="inlineStr">
        <is>
          <t>• Laptop or provisioned lab computer, charger, cohort ZIP and a printed copy of setup/README.md.
• USB/local-share copy for connection outages.</t>
        </is>
      </c>
      <c r="V6" s="49" t="inlineStr">
        <is>
          <t>Largely shared — check the Shared vs Divergent sheet.</t>
        </is>
      </c>
    </row>
    <row r="7" ht="219.75" customHeight="1" s="36">
      <c r="A7" s="46" t="n">
        <v>3</v>
      </c>
      <c r="B7" s="47" t="inlineStr">
        <is>
          <t>Block 1 - Orientation &amp; Computational Thinking</t>
        </is>
      </c>
      <c r="C7" s="47" t="inlineStr">
        <is>
          <t>Mon 21 Sep 2026</t>
        </is>
      </c>
      <c r="D7" s="47" t="inlineStr">
        <is>
          <t>Fri 25 Sep 2026
08:00-11:00 · Room 105</t>
        </is>
      </c>
      <c r="E7" s="47" t="inlineStr">
        <is>
          <t>Cohort B</t>
        </is>
      </c>
      <c r="F7" s="47" t="inlineStr">
        <is>
          <t>CML3113</t>
        </is>
      </c>
      <c r="G7" s="47" t="inlineStr">
        <is>
          <t>Introduction to Machine Learning in Mining &amp; Petroleum Engineering</t>
        </is>
      </c>
      <c r="H7" s="47" t="inlineStr">
        <is>
          <t>Python as an engineering calculator</t>
        </is>
      </c>
      <c r="I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K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B FRAMING: Formula set: ore tonnage from volume and bulk density; contained metal from grade and tonnage; mill recovery and dilution; a two-stream mass balance; rate of penetration from drilling parameters; volumetric original-oil-in-place; gas-oil ratio.</t>
        </is>
      </c>
      <c r="N7" s="47" t="inlineStr">
        <is>
          <t>No dataset - formula-driven.</t>
        </is>
      </c>
      <c r="O7" s="47" t="inlineStr">
        <is>
          <t>Wrong Answer Hunt - six silently wrong functions. Chosen because 'it ran, therefore it is right' is the single most dangerous belief a beginner can form, and it is fatal later in model evaluation.</t>
        </is>
      </c>
      <c r="P7" s="47" t="inlineStr">
        <is>
          <t>A3: complete the five tasks in practicals/W03/&lt;cohort&gt;/W03_student.ipynb. The broader function library is practice. Submit the named notebook through the assignment form.</t>
        </is>
      </c>
      <c r="Q7" s="47" t="inlineStr">
        <is>
          <t>QUIZ 3 - Python as an engineering calculator
A unit error that returns a plausible wrong number, a function that returns nothing because it prints instead, an if-chain whose branches are in the wrong order, and one traceback.</t>
        </is>
      </c>
      <c r="R7" s="47" t="inlineStr">
        <is>
          <t>Team repository has a working code file and a commit history with more than one contributor.</t>
        </is>
      </c>
      <c r="S7" s="47" t="inlineStr">
        <is>
          <t>A3 contributes to Practical Challenges &amp; Assignments (10%). Function-writing and traceback-reading are directly examined in Practical Test 1 (Week 7).</t>
        </is>
      </c>
      <c r="T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47" t="inlineStr">
        <is>
          <t>• Computers, projector, printed formula sheet for the cohort.
• Printed Python syntax cheat sheet (one page, both sides).
• Wrong Answer Hunt notebook distributed offline via USB or the network share.</t>
        </is>
      </c>
      <c r="V7" s="47" t="inlineStr">
        <is>
          <t>DIVERGENT: the six formulas and the Wrong Answer Hunt traps (grams per tonne vs percent, barrels vs cubic metres, wet vs dry tonnes). SHARED: all concepts and structure.</t>
        </is>
      </c>
    </row>
    <row r="8" ht="219.75" customHeight="1" s="36">
      <c r="A8" s="48" t="n">
        <v>4</v>
      </c>
      <c r="B8" s="49" t="inlineStr">
        <is>
          <t>Block 1 - Orientation &amp; Computational Thinking</t>
        </is>
      </c>
      <c r="C8" s="49" t="inlineStr">
        <is>
          <t>Mon 28 Sep 2026</t>
        </is>
      </c>
      <c r="D8" s="49" t="inlineStr">
        <is>
          <t>Fri 02 Oct 2026
08:00-11:00 · Room 105</t>
        </is>
      </c>
      <c r="E8" s="49" t="inlineStr">
        <is>
          <t>Cohort B</t>
        </is>
      </c>
      <c r="F8" s="49" t="inlineStr">
        <is>
          <t>CML3113</t>
        </is>
      </c>
      <c r="G8" s="49" t="inlineStr">
        <is>
          <t>Introduction to Machine Learning in Mining &amp; Petroleum Engineering</t>
        </is>
      </c>
      <c r="H8" s="49" t="inlineStr">
        <is>
          <t>Python for problem solving: collections, loops and files</t>
        </is>
      </c>
      <c r="I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K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49" t="inlineStr">
        <is>
          <t>• The csv module and open() - deliberately no pandas yet.
• The VS Code debugger on a loop, to watch an accumulator fill.
• Git: incremental commits during the build.</t>
        </is>
      </c>
      <c r="M8" s="49" t="inlineStr">
        <is>
          <t>Reading Report script (see structure). Core tier: handle a clean file. Stretch tier: survive a file containing blank lines, a stray text value in a numeric column and a duplicated header row - which is exactly what Week 6 formalises.</t>
        </is>
      </c>
      <c r="N8" s="49" t="inlineStr">
        <is>
          <t>COURSE-AUTHORED: 'drill_shift_log.csv' (~300 rows) - a fictional but realistic shift log with hole ID, depth, rate of penetration, bit type, operator, downtime minutes and a downtime reason code. Contains one genuine finding (one bit type or one shift pattern with systematically worse performance), two red herrings and realistic dirt.</t>
        </is>
      </c>
      <c r="O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49" t="inlineStr">
        <is>
          <t>A4: the Reading Report notebook with four automatically checked summaries. See practicals/W04/&lt;cohort&gt;/README.md. The 150-word interpretation is formative practice.</t>
        </is>
      </c>
      <c r="Q8" s="49" t="inlineStr">
        <is>
          <t>QUIZ 4 - collections, loops and files
An accumulator reset inside the loop, a range off-by-one, a value read from a file as a string, and a skipped-row count that was never reported.</t>
        </is>
      </c>
      <c r="R8" s="49" t="inlineStr">
        <is>
          <t>Each team submits a one-paragraph statement of the kind of engineering problem it wants to work on for the semester (not yet a dataset).</t>
        </is>
      </c>
      <c r="S8" s="49" t="inlineStr">
        <is>
          <t>A4 contributes to Practical Challenges &amp; Assignments (10%). Investigation Lab 1 is the direct rehearsal for Practical Test 1 in Week 7 and establishes the no-spoon-feeding norm.</t>
        </is>
      </c>
      <c r="T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49" t="inlineStr">
        <is>
          <t>• Computers, the Investigation Lab data file distributed offline.
• Printed question-bank cards.
• Timer visible to the room - the pitch round must not overrun.
• Flipchart for the findings pitches.</t>
        </is>
      </c>
      <c r="V8" s="49" t="inlineStr">
        <is>
          <t>DIVERGENT: the Investigation Lab file and its planted story. SHARED: all Python content.</t>
        </is>
      </c>
    </row>
    <row r="9" ht="219.75" customHeight="1" s="36">
      <c r="A9" s="51" t="n">
        <v>5</v>
      </c>
      <c r="B9" s="52" t="inlineStr">
        <is>
          <t>Block 2 - Engineering Data</t>
        </is>
      </c>
      <c r="C9" s="52" t="inlineStr">
        <is>
          <t>Mon 05 Oct 2026</t>
        </is>
      </c>
      <c r="D9" s="52" t="inlineStr">
        <is>
          <t>Fri 09 Oct 2026
08:00-11:00 · Room 105</t>
        </is>
      </c>
      <c r="E9" s="52" t="inlineStr">
        <is>
          <t>Cohort B</t>
        </is>
      </c>
      <c r="F9" s="52" t="inlineStr">
        <is>
          <t>CML3113</t>
        </is>
      </c>
      <c r="G9" s="52" t="inlineStr">
        <is>
          <t>Introduction to Machine Learning in Mining &amp; Petroleum Engineering</t>
        </is>
      </c>
      <c r="H9" s="52" t="inlineStr">
        <is>
          <t>NumPy and pandas: the engineer's data table, and where data comes from</t>
        </is>
      </c>
      <c r="I9" s="52"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52"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K9" s="52"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52" t="inlineStr">
        <is>
          <t>• NumPy.
• pandas.
• Kaggle (search, dataset cards, download, public notebooks as worked examples).
• UCI Machine Learning Repository and the ucimlrepo package.
• Jupyter as the primary surface from this week onward.</t>
        </is>
      </c>
      <c r="M9" s="52" t="inlineStr">
        <is>
          <t>Twelve Questions interrogation notebook on the anchor dataset (see structure). Core tier: answer all twelve. Stretch tier: add two questions of their own and answer them.
COHORT B FRAMING: The twelve questions include: how does silica in the concentrate vary with iron in the feed; which flotation columns show the widest air flow variation; does pulp pH band relate to concentrate quality; what is the distribution of starch flow; and for the well logs, how does gamma ray response differ between two named lithologies.</t>
        </is>
      </c>
      <c r="N9" s="52" t="inlineStr">
        <is>
          <t>ANCHOR: a 20,000-row teaching subset of 'Quality Prediction in a Mining Process' (Kaggle, edumagalhaes) - the full file is roughly 737,000 rows x 24 columns sampled every 20 seconds, which is too large for a first pandas session and must be subset in preparation. SECONDARY: FORCE 2020 well logs (GitHub bolgebrygg; labels CC BY 4.0, log data NLOD 2.0) reduced to three wells for the petroleum stream.</t>
        </is>
      </c>
      <c r="O9" s="52" t="inlineStr">
        <is>
          <t>Ten Questions, No Help - a timed, unassisted interrogation of an unfamiliar dataset. Directly calibrates students against the Week 7 test format.</t>
        </is>
      </c>
      <c r="P9" s="52" t="inlineStr">
        <is>
          <t>A5: complete the six automatically checked campus-energy tasks in practicals/W05/&lt;cohort&gt;/W05_student.ipynb. The Twelve Questions anchor-data investigation remains practice.</t>
        </is>
      </c>
      <c r="Q9" s="52" t="inlineStr">
        <is>
          <t>QUIZ 5 - pandas and judging a dataset
A mask confused with a filtered frame, a groupby result whose shape is misread, a dtype of 'object' on a numeric column, and one question on where a dataset came from.</t>
        </is>
      </c>
      <c r="R9" s="52" t="inlineStr">
        <is>
          <t>DATA ANALYSIS PROJECT launched. Each team selects a dataset from the approved list (or proposes one for approval), and registers the engineering question it will answer.</t>
        </is>
      </c>
      <c r="S9" s="52" t="inlineStr">
        <is>
          <t>A5 contributes to Practical Challenges &amp; Assignments (10%). The Data Analysis Project is 10% in its own right. pandas fluency is the core of Practical Test 1 (Week 7).</t>
        </is>
      </c>
      <c r="T9" s="52"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
• COHORT B: CRITICAL PREPARATION: subset the flotation dataset to about 20,000 rows and the well logs to three wells, and stage both offline. Handing 737,000 rows to a five-week-old programmer is a guaranteed failure.</t>
        </is>
      </c>
      <c r="U9" s="52"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52" t="inlineStr">
        <is>
          <t>DIVERGENT: anchor dataset and the twelve questions. SHARED: all pandas and NumPy content and the sourcing segment.</t>
        </is>
      </c>
    </row>
    <row r="10" ht="219.75" customHeight="1" s="36">
      <c r="A10" s="48" t="n">
        <v>6</v>
      </c>
      <c r="B10" s="49" t="inlineStr">
        <is>
          <t>Block 2 - Engineering Data</t>
        </is>
      </c>
      <c r="C10" s="49" t="inlineStr">
        <is>
          <t>Mon 12 Oct 2026</t>
        </is>
      </c>
      <c r="D10" s="49" t="inlineStr">
        <is>
          <t>Fri 16 Oct 2026
08:00-11:00 · Room 105</t>
        </is>
      </c>
      <c r="E10" s="49" t="inlineStr">
        <is>
          <t>Cohort B</t>
        </is>
      </c>
      <c r="F10" s="49" t="inlineStr">
        <is>
          <t>CML3113</t>
        </is>
      </c>
      <c r="G10" s="49" t="inlineStr">
        <is>
          <t>Introduction to Machine Learning in Mining &amp; Petroleum Engineering</t>
        </is>
      </c>
      <c r="H10" s="49" t="inlineStr">
        <is>
          <t>Dirty data, and seeing it: data quality through visualisation</t>
        </is>
      </c>
      <c r="I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K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B FRAMING: Outlier Argument cases from mining and petroleum reality: an assay of 45 grams per tonne gold, a negative flow rate, a pulp pH of 14, a production spike immediately after a shutdown, and a bottom-hole pressure reading of zero.</t>
        </is>
      </c>
      <c r="N10" s="49" t="inlineStr">
        <is>
          <t>COURSE-AUTHORED damaged variant of the flotation subset, plus a fictional 'assay_register.csv' with sentinel-coded missing assays (-999), duplicated laboratory entries, grades entered in the wrong unit, and two genuinely arguable extremes (a real high-grade intersection and a suspected contaminated sample).</t>
        </is>
      </c>
      <c r="O10" s="49" t="inlineStr">
        <is>
          <t>The Outlier Argument - forces a judgement call with no lookup answer, and rewards domain reasoning over technique.</t>
        </is>
      </c>
      <c r="P10" s="49" t="inlineStr">
        <is>
          <t>A6 / W06: use the issued cohort notebook and TASKS.md in assessment_banks/W06. Complete the cleaning, summary and audit interfaces plus the designated written-evidence cell. The broader Data Clinic and project work are practice and project development.</t>
        </is>
      </c>
      <c r="Q10" s="49" t="inlineStr">
        <is>
          <t>QUIZ 6 - dirty data, and seeing it
A zero-coded missing value, a chart that does not answer the stated question, and an extreme value that has to be judged as an error or a real measurement.</t>
        </is>
      </c>
      <c r="R10" s="49" t="inlineStr">
        <is>
          <t>Data Analysis Project: cleaned dataset and at least four question-driven charts committed to the repository.</t>
        </is>
      </c>
      <c r="S10" s="49" t="inlineStr">
        <is>
          <t>A6 contributes to Practical Challenges &amp; Assignments (10%). Cleaning judgement and chart quality are 40% of the Practical Test 1 rubric.</t>
        </is>
      </c>
      <c r="T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49" t="inlineStr">
        <is>
          <t>• Computers; the damaged dataset offline; seaborn/matplotlib cheat sheet.
• Printed defect register template.
• Practical Test 1 information sheet and rubric for distribution.
• Colour printing or a good projector for the chart-quality comparison.</t>
        </is>
      </c>
      <c r="V10" s="49" t="inlineStr">
        <is>
          <t>DIVERGENT: the damaged dataset and the five outlier cases. SHARED: all cleaning and visualisation content.</t>
        </is>
      </c>
    </row>
    <row r="11" ht="219.75" customHeight="1" s="36">
      <c r="A11" s="53" t="n">
        <v>7</v>
      </c>
      <c r="B11" s="54" t="inlineStr">
        <is>
          <t>ASSESSMENT WEEK 1</t>
        </is>
      </c>
      <c r="C11" s="54" t="inlineStr">
        <is>
          <t>Mon 19 Oct 2026</t>
        </is>
      </c>
      <c r="D11" s="54" t="inlineStr">
        <is>
          <t>Fri 23 Oct 2026
08:00-11:00 · Room 105</t>
        </is>
      </c>
      <c r="E11" s="54" t="inlineStr">
        <is>
          <t>Cohort B</t>
        </is>
      </c>
      <c r="F11" s="54" t="inlineStr">
        <is>
          <t>CML3113</t>
        </is>
      </c>
      <c r="G11" s="54" t="inlineStr">
        <is>
          <t>Introduction to Machine Learning in Mining &amp; Petroleum Engineering</t>
        </is>
      </c>
      <c r="H11" s="54" t="inlineStr">
        <is>
          <t>PRACTICAL TEST 1 - Data Investigation (individual, timed Colab practical)</t>
        </is>
      </c>
      <c r="I11" s="54" t="inlineStr">
        <is>
          <t>• Read, inspect and clean an unfamiliar engineering dataset without a prescribed method, and check the result with charts.
• Calculate summary statistics and group means with pandas and report them accurately.
• Write a function that works on any table, and a loop with conditions.
• Explain their own submitted code when asked, without AI or another person's help.</t>
        </is>
      </c>
      <c r="J11" s="54" t="inlineStr">
        <is>
          <t>• 0:00-0:10  Entry link, private notebook and CSV, rules read aloud, identity cell checked.
• 0:10-2:25  CODING (135 minutes). Individual, in Colab. Eight coded tasks: read and inspect the file, a chart before cleaning, cleaning, a chart after cleaning, statistics, grouping, one function, and a loop with conditions.
• 2:25-2:40  CHECKING (15 minutes). Restart the session and Run all.
• 2:40-3:00  FINAL SAVE AND SUBMISSION (20 minutes). Submit test button, generated form link, confirmation.</t>
        </is>
      </c>
      <c r="K11" s="54" t="inlineStr">
        <is>
          <t>• No new concepts. Weeks 1-6 are examined: pandas, cleaning judgement, visualisation, engineering interpretation.
• Examined implicitly: the ability to proceed without instructions.</t>
        </is>
      </c>
      <c r="L11" s="54" t="inlineStr">
        <is>
          <t>• Permitted: Colab, pandas, matplotlib, ordinary Python, and your lecture slides, revision guide, cheatsheet and personal course notes.
• Prohibited: AI tools, help from another person and copied work. Colab cannot block an AI assistant, so the rule rests on the declaration, hidden-data grading and an understanding check in which a student may be asked to explain or change their own code.
• Rationale published to students in Week 6: AI is permitted and encouraged in projects, where the work is explained and defended; it is excluded from the two tests, which certify unaided capability.</t>
        </is>
      </c>
      <c r="M11" s="54" t="inlineStr">
        <is>
          <t>The test is a coding practical in Colab, three hours from the start including setup, checking and submission. Three parallel dataset variants are issued by the entry page, and the deterministic grader re-runs the submitted code on other data.</t>
        </is>
      </c>
      <c r="N11" s="54" t="inlineStr">
        <is>
          <t>UNSEEN test datasets, three matched variants from mining or petroleum data. Suggested: a held-back slice of the flotation data from a different date range, a held-back set of FORCE 2020 wells, and a course-authored haulage or blast log. Variants matched for row count, defect count and difficulty.</t>
        </is>
      </c>
      <c r="O11" s="54" t="inlineStr">
        <is>
          <t>The entire assessment is the challenge: an unfamiliar dataset, no prescribed method, and marks awarded for reasoning as much as for result.</t>
        </is>
      </c>
      <c r="P11" s="54" t="inlineStr">
        <is>
          <t>None issued. Week 8 pre-reading only (a two-page primer on the idea of fitting a line), so the test week carries no homework load.</t>
        </is>
      </c>
      <c r="Q11" s="54" t="inlineStr">
        <is>
          <t>—</t>
        </is>
      </c>
      <c r="R11" s="54" t="inlineStr">
        <is>
          <t>Data Analysis Project continues outside class; due Week 8.</t>
        </is>
      </c>
      <c r="S11" s="54" t="inlineStr">
        <is>
          <t>PRACTICAL TEST 1 = 15% of the Semester 1 mark. Individual. Rubric: reading and inspecting 20, chart before cleaning 10, cleaning 20, chart after cleaning 10, statistics 15, grouping 10, one function 5, conditions and a loop 10.</t>
        </is>
      </c>
      <c r="T11" s="54" t="inlineStr">
        <is>
          <t>• Author three parallel dataset variants of matched difficulty, and the hidden data the grader uses.
• Test the entry page, private notebook, countdown, Submit test button and form link with one account for each variant.
• Confirm that every student has a Google account that works with Colab and the submission form.
• The deterministic grader marks all eight tasks, so no structural auto-check script is needed.
• Agree the moderation plan and the late and absent policy with the Faculty in advance.</t>
        </is>
      </c>
      <c r="U11" s="54" t="inlineStr">
        <is>
          <t>• A Colab-capable laptop and a stable connection for every student.
• An entry link or QR code for each variant.
• Published rubric (issued Week 6).
• A short understanding check for a sample of students after the test.</t>
        </is>
      </c>
      <c r="V11" s="54" t="inlineStr">
        <is>
          <t>DIVERGENT: the three dataset variants and their mark schemes. SHARED: format, rules, duration, rubric, issued notebook bundle.</t>
        </is>
      </c>
    </row>
    <row r="12" ht="219.75" customHeight="1" s="36">
      <c r="A12" s="48" t="n">
        <v>8</v>
      </c>
      <c r="B12" s="49" t="inlineStr">
        <is>
          <t>Block 3 - The Machine Learning Core</t>
        </is>
      </c>
      <c r="C12" s="49" t="inlineStr">
        <is>
          <t>Mon 26 Oct 2026</t>
        </is>
      </c>
      <c r="D12" s="49" t="inlineStr">
        <is>
          <t>Fri 30 Oct 2026
08:00-11:00 · Room 105</t>
        </is>
      </c>
      <c r="E12" s="49" t="inlineStr">
        <is>
          <t>Cohort B</t>
        </is>
      </c>
      <c r="F12" s="49" t="inlineStr">
        <is>
          <t>CML3113</t>
        </is>
      </c>
      <c r="G12" s="49" t="inlineStr">
        <is>
          <t>Introduction to Machine Learning in Mining &amp; Petroleum Engineering</t>
        </is>
      </c>
      <c r="H12" s="49" t="inlineStr">
        <is>
          <t>Learning from data: the first model</t>
        </is>
      </c>
      <c r="I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K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49" t="inlineStr">
        <is>
          <t>First Model notebook (see structure). Core tier: a working, evaluated regression with the error stated in physical units. Stretch tier: a residual plot with a written interpretation of where the model is worst and a hypothesis as to why.
COHORT B FRAMING: The error must be reported as 'plus or minus X percentage points of silica', and the class must answer: would a metallurgist change a reagent set point on that basis? Tying the error to a real operating decision is what makes the metric mean something.</t>
        </is>
      </c>
      <c r="N12" s="49" t="inlineStr">
        <is>
          <t>Flotation subset (Kaggle) predicting percentage silica in the concentrate - a regression with an immediately meaningful commercial error unit.</t>
        </is>
      </c>
      <c r="O12" s="49" t="inlineStr">
        <is>
          <t>Beat the Baseline. The baseline is the pedagogical device: it makes 'R-squared = 0.62' mean something, and it makes an unimpressive model an interesting result rather than a failure.</t>
        </is>
      </c>
      <c r="P12" s="49" t="inlineStr">
        <is>
          <t>A7 / W08: submit the issued cohort notebook with the regression/error interfaces and written interpretation of the supplied comparison. See assessment_banks/W08/&lt;cohort&gt;/A/TASKS.md.</t>
        </is>
      </c>
      <c r="Q12" s="49" t="inlineStr">
        <is>
          <t>QUIZ 7 - the first model
A score quoted on the training rows, a residual plot read the wrong way round, MAE against RMSE on the same data, and a baseline nobody computed.</t>
        </is>
      </c>
      <c r="R12" s="49" t="inlineStr">
        <is>
          <t>DATA ANALYSIS PROJECT DUE (10%). Engineering ML Project brief previewed; teams begin scoping.</t>
        </is>
      </c>
      <c r="S12" s="49" t="inlineStr">
        <is>
          <t>A7 contributes to Practical Challenges (10%). Data Analysis Project is submitted and marked (10%). Regression, metrics and train/test are core to Practical Test 2 (Week 14).</t>
        </is>
      </c>
      <c r="T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49" t="inlineStr">
        <is>
          <t>• Computers; anchor dataset offline; projector.
• Leaderboard display.
• Printed sklearn API card (fit / predict / score / metrics).
• Marked or triaged Test 1 scripts for the debrief.</t>
        </is>
      </c>
      <c r="V12" s="49" t="inlineStr">
        <is>
          <t>DIVERGENT: dataset, target and the operating decision question. SHARED: all regression and metric content.</t>
        </is>
      </c>
    </row>
    <row r="13" ht="219.75" customHeight="1" s="36">
      <c r="A13" s="46" t="n">
        <v>9</v>
      </c>
      <c r="B13" s="47" t="inlineStr">
        <is>
          <t>Block 3 - The Machine Learning Core</t>
        </is>
      </c>
      <c r="C13" s="47" t="inlineStr">
        <is>
          <t>Mon 02 Nov 2026</t>
        </is>
      </c>
      <c r="D13" s="47" t="inlineStr">
        <is>
          <t>Fri 06 Nov 2026
08:00-11:00 · Room 105</t>
        </is>
      </c>
      <c r="E13" s="47" t="inlineStr">
        <is>
          <t>Cohort B</t>
        </is>
      </c>
      <c r="F13" s="47" t="inlineStr">
        <is>
          <t>CML3113</t>
        </is>
      </c>
      <c r="G13" s="47" t="inlineStr">
        <is>
          <t>Introduction to Machine Learning in Mining &amp; Petroleum Engineering</t>
        </is>
      </c>
      <c r="H13" s="47" t="inlineStr">
        <is>
          <t>Classification: predicting which category a case belongs to</t>
        </is>
      </c>
      <c r="I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K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47" t="inlineStr">
        <is>
          <t>• scikit-learn: LogisticRegression, DecisionTreeClassifier, RandomForestClassifier, confusion_matrix, ConfusionMatrixDisplay, classification_report, plot_tree.
• seaborn for the confusion matrix heatmap.
• pandas for the cost table.</t>
        </is>
      </c>
      <c r="M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B FRAMING: Cost table categories: cost of an unnecessary equipment stoppage, cost of an undetected failure including lost production and safety consequence, cost of misclassifying ore as waste, and cost of misclassifying waste as ore.</t>
        </is>
      </c>
      <c r="N13" s="47" t="inlineStr">
        <is>
          <t>Two options. (i) FORCE 2020 well logs for multi-class lithology classification - genuinely imbalanced, genuinely hard, and real. (ii) AI4I 2020 Predictive Maintenance (UCI 601, 10,000 rows, 3.4% failure rate) framed as mining equipment failure, which supplies the imbalance for The 97% Trap.</t>
        </is>
      </c>
      <c r="O13" s="47" t="inlineStr">
        <is>
          <t>The 97% Trap. Deliberately adversarial. It inoculates students against the single most common failure in applied ML, and it is a low-guidance session by design.</t>
        </is>
      </c>
      <c r="P13" s="47" t="inlineStr">
        <is>
          <t>A8 / W09: submit the issued cohort notebook with classification checks and written interpretation of the supplied cost scenario. See assessment_banks/W09/&lt;cohort&gt;/A/TASKS.md.</t>
        </is>
      </c>
      <c r="Q13" s="47" t="inlineStr">
        <is>
          <t>QUIZ 8 - classification
A confusion matrix read for what the model does badly, an accuracy figure quoted without the class balance, and a threshold moved with its effect on each cell.</t>
        </is>
      </c>
      <c r="R13" s="47" t="inlineStr">
        <is>
          <t>ENGINEERING ML PROJECT launched (25%, runs to Week 15). Teams must register a problem statement, a candidate dataset and a named target variable by Week 10.</t>
        </is>
      </c>
      <c r="S13" s="47" t="inlineStr">
        <is>
          <t>A8 contributes to Practical Challenges (10%). The Engineering ML Project brief and rubric are now live. Classification and metric choice are examined in Practical Test 2.</t>
        </is>
      </c>
      <c r="T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47" t="inlineStr">
        <is>
          <t>DIVERGENT: dataset, class definitions and cost categories. SHARED: all classification content and the 97% Trap design.</t>
        </is>
      </c>
    </row>
    <row r="14" ht="219.75" customHeight="1" s="36">
      <c r="A14" s="48" t="n">
        <v>10</v>
      </c>
      <c r="B14" s="49" t="inlineStr">
        <is>
          <t>Block 3 - The Machine Learning Core</t>
        </is>
      </c>
      <c r="C14" s="49" t="inlineStr">
        <is>
          <t>Mon 09 Nov 2026</t>
        </is>
      </c>
      <c r="D14" s="49" t="inlineStr">
        <is>
          <t>Fri 13 Nov 2026
08:00-11:00 · Room 105</t>
        </is>
      </c>
      <c r="E14" s="49" t="inlineStr">
        <is>
          <t>Cohort B</t>
        </is>
      </c>
      <c r="F14" s="49" t="inlineStr">
        <is>
          <t>CML3113</t>
        </is>
      </c>
      <c r="G14" s="49" t="inlineStr">
        <is>
          <t>Introduction to Machine Learning in Mining &amp; Petroleum Engineering</t>
        </is>
      </c>
      <c r="H14" s="49" t="inlineStr">
        <is>
          <t>Can I trust this model?</t>
        </is>
      </c>
      <c r="I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K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49" t="inlineStr">
        <is>
          <t>The team's own project dataset, plus three course-authored 'Too Good To Be True' notebooks. Planted causes for this cohort: the laboratory silica assay left in the features while predicting silica; duplicated 20-second records spanning the split; and a well or hole identifier that encodes the lithology.</t>
        </is>
      </c>
      <c r="O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49" t="inlineStr">
        <is>
          <t>A9 / W10: submit the issued cohort notebook with group-split/preprocessing checks and written leakage/conditions-of-use evidence. The broader project Trust Lab remains project development.</t>
        </is>
      </c>
      <c r="Q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49" t="inlineStr">
        <is>
          <t>PROJECT MILESTONE 1 (graded milestone): problem statement, dataset with licence, named target, and a baseline notebook. Each member's contribution log must be present in the repository.</t>
        </is>
      </c>
      <c r="S14" s="49" t="inlineStr">
        <is>
          <t>A9 contributes to Practical Challenges (10%). PM1 is a graded milestone within the Engineering ML Project (25%). Validation carries 15 of the 100 marks in the project rubric, and leakage control carries 20 of the 100 marks in the Practical Test 2 rubric.</t>
        </is>
      </c>
      <c r="T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49" t="inlineStr">
        <is>
          <t>• Computers; the three challenge notebooks offline; projector.
• Printed PM1 checklist and contribution log template.
• Printed leakage taxonomy card (four kinds, one example each).
• Timer for the PM1 stand-ups.</t>
        </is>
      </c>
      <c r="V14" s="49" t="inlineStr">
        <is>
          <t>DIVERGENT: the planted leakage causes are dressed in mining and petroleum terms, and the temporal leakage case is emphasised because process data is a time series. SHARED: all validation content.</t>
        </is>
      </c>
    </row>
    <row r="15" ht="219.75" customHeight="1" s="36">
      <c r="A15" s="46" t="n">
        <v>11</v>
      </c>
      <c r="B15" s="47" t="inlineStr">
        <is>
          <t>Block 4 - Practical Machine Learning Judgement</t>
        </is>
      </c>
      <c r="C15" s="47" t="inlineStr">
        <is>
          <t>Mon 16 Nov 2026</t>
        </is>
      </c>
      <c r="D15" s="47" t="inlineStr">
        <is>
          <t>Fri 20 Nov 2026
08:00-11:00 · Room 105</t>
        </is>
      </c>
      <c r="E15" s="47" t="inlineStr">
        <is>
          <t>Cohort B</t>
        </is>
      </c>
      <c r="F15" s="47" t="inlineStr">
        <is>
          <t>CML3113</t>
        </is>
      </c>
      <c r="G15" s="47" t="inlineStr">
        <is>
          <t>Introduction to Machine Learning in Mining &amp; Petroleum Engineering</t>
        </is>
      </c>
      <c r="H15" s="47" t="inlineStr">
        <is>
          <t>Features: where engineering knowledge enters the model</t>
        </is>
      </c>
      <c r="I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K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B FRAMING: Domain features that should be engineered: reagent-to-feed ratio, air-to-pulp ratio, contained metal as grade times tonnage, specific energy as torque times rotation over penetration rate, cumulative operating hours since maintenance, rolling mean and standard deviation of a process variable, and log-transformed resistivity. The reagent-to-feed ratio is the demonstration feature - a ratio a metallurgist would reach for immediately and that the raw flows cannot express.</t>
        </is>
      </c>
      <c r="N15" s="47" t="inlineStr">
        <is>
          <t>Flotation subset and, for the petroleum stream, FORCE 2020 well logs.</t>
        </is>
      </c>
      <c r="O15" s="47" t="inlineStr">
        <is>
          <t>Domain Advantage - a controlled experiment run by the students on themselves, comparing raw data plus a better algorithm against domain knowledge plus a simple algorithm.</t>
        </is>
      </c>
      <c r="P15" s="47" t="inlineStr">
        <is>
          <t>A10 / W11: submit the issued cohort notebook with feature/error checks and written interpretation of the supplied ablation. Extend the method to your project separately.</t>
        </is>
      </c>
      <c r="Q15" s="47" t="inlineStr">
        <is>
          <t>QUIZ 10 - features
An ablation table read for which feature earned its place, a one-hot encoding on a high-cardinality column, and a scaler that made no difference to a tree.</t>
        </is>
      </c>
      <c r="R15" s="47" t="inlineStr">
        <is>
          <t>PROJECT MILESTONE 2 briefed this week and due at the start of Week 12 (graded milestone): cleaned dataset, feature dictionary, and a first properly evaluated model inside a Pipeline.</t>
        </is>
      </c>
      <c r="S15" s="47" t="inlineStr">
        <is>
          <t>A10 contributes to Practical Challenges (10%). PM2 is a graded milestone within the project (25%). Engineering reasoning carries 20 of the 100 project marks, and feature construction is where it is most visible.</t>
        </is>
      </c>
      <c r="T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47" t="inlineStr">
        <is>
          <t>DIVERGENT: the feature set and the reference sheet of standard mining and petroleum relations. SHARED: all encoding, scaling, pipeline and ablation content.</t>
        </is>
      </c>
    </row>
    <row r="16" ht="219.75" customHeight="1" s="36">
      <c r="A16" s="48" t="n">
        <v>12</v>
      </c>
      <c r="B16" s="49" t="inlineStr">
        <is>
          <t>Block 4 - Practical Machine Learning Judgement</t>
        </is>
      </c>
      <c r="C16" s="49" t="inlineStr">
        <is>
          <t>Mon 23 Nov 2026</t>
        </is>
      </c>
      <c r="D16" s="49" t="inlineStr">
        <is>
          <t>Fri 27 Nov 2026
08:00-11:00 · Room 105</t>
        </is>
      </c>
      <c r="E16" s="49" t="inlineStr">
        <is>
          <t>Cohort B</t>
        </is>
      </c>
      <c r="F16" s="49" t="inlineStr">
        <is>
          <t>CML3113</t>
        </is>
      </c>
      <c r="G16" s="49" t="inlineStr">
        <is>
          <t>Introduction to Machine Learning in Mining &amp; Petroleum Engineering</t>
        </is>
      </c>
      <c r="H16" s="49" t="inlineStr">
        <is>
          <t>Model comparison and engineering judgement (low-guidance week)</t>
        </is>
      </c>
      <c r="I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K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49" t="inlineStr">
        <is>
          <t>An unfamiliar mining or petroleum dataset with a client brief. Suggested: MetroPT-3 (UCI 791) as an equipment health analogue, or a held-back FORCE 2020 well set. The client brief should include a production or safety consequence so that recall matters more than accuracy.</t>
        </is>
      </c>
      <c r="O16" s="49" t="inlineStr">
        <is>
          <t>Choose a Model and Defend It, plus the adversarial Defence Round. This is the week that most directly rehearses professional engineering practice, and the least guided session before the test.</t>
        </is>
      </c>
      <c r="P16" s="49" t="inlineStr">
        <is>
          <t>A11 / W12: submit the issued cohort notebook with selection/error checks and written reasoning about the supplied constraints. The in-class recommendation and live defence are practice. This is the last weekly challenge.</t>
        </is>
      </c>
      <c r="Q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49" t="inlineStr">
        <is>
          <t>PROJECT MILESTONE 3 briefed this week and due at the start of Week 13 (graded milestone): a model comparison table for the team's own project, with a justified selection.</t>
        </is>
      </c>
      <c r="S16" s="49" t="inlineStr">
        <is>
          <t>A11 contributes to Practical Challenges (10%) and is graded in-session. PM3 is a graded milestone within the project (25%). This session is the closest rehearsal for Practical Test 2.</t>
        </is>
      </c>
      <c r="T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49" t="inlineStr">
        <is>
          <t>• Computers; challenge dataset offline; printed client briefs.
• Printed question-bank cards and recommendation template.
• Room layout allowing team-to-team defence (movable seating strongly preferred).
• Timer and a visible protocol poster.</t>
        </is>
      </c>
      <c r="V16" s="49" t="inlineStr">
        <is>
          <t>DIVERGENT: challenge dataset and client brief. SHARED: protocol, defence round, criteria.</t>
        </is>
      </c>
    </row>
    <row r="17" ht="219.75" customHeight="1" s="36">
      <c r="A17" s="46" t="n">
        <v>13</v>
      </c>
      <c r="B17" s="47" t="inlineStr">
        <is>
          <t>Block 5 - Engineering Project</t>
        </is>
      </c>
      <c r="C17" s="47" t="inlineStr">
        <is>
          <t>Mon 30 Nov 2026</t>
        </is>
      </c>
      <c r="D17" s="47" t="inlineStr">
        <is>
          <t>Fri 04 Dec 2026
08:00-11:00 · Room 105</t>
        </is>
      </c>
      <c r="E17" s="47" t="inlineStr">
        <is>
          <t>Cohort B</t>
        </is>
      </c>
      <c r="F17" s="47" t="inlineStr">
        <is>
          <t>CML3113</t>
        </is>
      </c>
      <c r="G17" s="47" t="inlineStr">
        <is>
          <t>Introduction to Machine Learning in Mining &amp; Petroleum Engineering</t>
        </is>
      </c>
      <c r="H17" s="47" t="inlineStr">
        <is>
          <t>Project studio: reproducibility, communication and peer review</t>
        </is>
      </c>
      <c r="I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K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47" t="inlineStr">
        <is>
          <t>Studio build plus the peer review round. Deliverable: a repository that passes restart-and-run-all, a complete README, requirements.txt, a contribution log, and a received peer review with a written response to it.</t>
        </is>
      </c>
      <c r="N17" s="47" t="inlineStr">
        <is>
          <t>The team's own project dataset.</t>
        </is>
      </c>
      <c r="O17" s="47" t="inlineStr">
        <is>
          <t>The peer review itself. Teams discover that reviewing is harder than building, and they find their own defects in someone else's repository.</t>
        </is>
      </c>
      <c r="P17" s="47" t="inlineStr">
        <is>
          <t>No new assignment - project work only, deliberately, so the week before the test carries no extra load.</t>
        </is>
      </c>
      <c r="Q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47" t="inlineStr">
        <is>
          <t>PROJECT MILESTONE 4: repository freeze candidate, restart-and-run-all passing, peer review received and responded to.</t>
        </is>
      </c>
      <c r="S17" s="47" t="inlineStr">
        <is>
          <t>PM4 feeds the Reproducibility and documentation (5%) and Communication (10%) criteria of the project rubric, and the whole session prepares the Week 15 demo. Practical Test 2 is briefed here.</t>
        </is>
      </c>
      <c r="T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47" t="inlineStr">
        <is>
          <t>• Computers; movable seating; printed clinic booking sheet and repository checklist.
• Printed peer review forms.
• Two assistants or floor helpers if the cohort exceeds 60 students.
• Practical Test 2 information sheet.</t>
        </is>
      </c>
      <c r="V17" s="47" t="inlineStr">
        <is>
          <t>FULLY SHARED. Prepare once.</t>
        </is>
      </c>
    </row>
    <row r="18" ht="219.75" customHeight="1" s="36">
      <c r="A18" s="53" t="n">
        <v>14</v>
      </c>
      <c r="B18" s="54" t="inlineStr">
        <is>
          <t>ASSESSMENT WEEK 2</t>
        </is>
      </c>
      <c r="C18" s="54" t="inlineStr">
        <is>
          <t>Mon 07 Dec 2026</t>
        </is>
      </c>
      <c r="D18" s="54" t="inlineStr">
        <is>
          <t>Fri 11 Dec 2026
08:00-11:00 · Room 105</t>
        </is>
      </c>
      <c r="E18" s="54" t="inlineStr">
        <is>
          <t>Cohort B</t>
        </is>
      </c>
      <c r="F18" s="54" t="inlineStr">
        <is>
          <t>CML3113</t>
        </is>
      </c>
      <c r="G18" s="54" t="inlineStr">
        <is>
          <t>Introduction to Machine Learning in Mining &amp; Petroleum Engineering</t>
        </is>
      </c>
      <c r="H18" s="54" t="inlineStr">
        <is>
          <t>PRACTICAL TEST 2 - End-to-End Engineering Machine Learning (individual, timed Colab practical)</t>
        </is>
      </c>
      <c r="I18" s="54" t="inlineStr">
        <is>
          <t>• Split data by whole equipment groups and fit models on training rows only.
• Compare a baseline, a straight line, a tree, a ridge curve and nearest neighbours on the same validation rows.
• Count classification outcomes and work out a cost, and run cross-validation by group.
• Test whether an extra input helps, and choose a model inside stated limits.
• Explain the choices: sealed test rows, training-only fill values, scaling and the ridge penalty.</t>
        </is>
      </c>
      <c r="J18" s="54" t="inlineStr">
        <is>
          <t>• 0:00-0:15  Entry page, notebook and CSV downloaded, rules read aloud, identity cell checked.
• 0:15-2:15  CODING (120 minutes). Individual, in Colab. Eight functions covering Weeks 8 to 13, from group_split to ridge_and_knn. The notebook states the columns, return formats and marks.
• 2:15-2:40  INTERPRETATION AND CHECKING (25 minutes). Six scenario choices recorded in DECISIONS, then Restart and Run all.
• 2:40-3:00  FINAL SAVE AND SUBMISSION (20 minutes). Submit test button, generated form link, confirmation. Week 15 demo running order confirmed.</t>
        </is>
      </c>
      <c r="K18" s="54" t="inlineStr">
        <is>
          <t>• No new concepts. Weeks 8-13 are examined: supervised learning, validation, leakage, features, model comparison and engineering interpretation.</t>
        </is>
      </c>
      <c r="L18" s="54" t="inlineStr">
        <is>
          <t>• Permitted: Colab, the submission form and any other resource the invigilator announces.
• Prohibited: AI assistants, messaging and copied answers.
• The notebook explains the columns and return formats, so the test examines judgement rather than memory of parameter names.</t>
        </is>
      </c>
      <c r="M18" s="54" t="inlineStr">
        <is>
          <t>The test is a coding practical in Colab, three hours from the start including setup, checking and submission. Three parallel dataset variants are issued by the entry page, and the deterministic grader re-runs the submitted code on other data.</t>
        </is>
      </c>
      <c r="N18" s="54" t="inlineStr">
        <is>
          <t>UNSEEN test datasets, three matched variants from the mining or petroleum domain, each supporting at least two model families.</t>
        </is>
      </c>
      <c r="O18" s="54" t="inlineStr">
        <is>
          <t>The whole assessment. An unfamiliar dataset, no prescribed method, and a rubric that awards more marks for reasoning and interpretation than for the score achieved.</t>
        </is>
      </c>
      <c r="P18" s="54" t="inlineStr">
        <is>
          <t>None. Final project preparation only.</t>
        </is>
      </c>
      <c r="Q18" s="54" t="inlineStr">
        <is>
          <t>—</t>
        </is>
      </c>
      <c r="R18" s="54" t="inlineStr">
        <is>
          <t>Engineering ML Project: final build week outside class. Repository and two-page brief due at the Week 15 session.</t>
        </is>
      </c>
      <c r="S18" s="54" t="inlineStr">
        <is>
          <t>PRACTICAL TEST 2 = 20% of the Semester 1 mark. Individual. Rubric: group split 10, baseline, linear and tree predictions 15, MAE and RMSE 5, classification and cost 10, group cross-validation 10, feature ablation 10, model selection 10, ridge and nearest neighbours 15, six interpretation choices 15.</t>
        </is>
      </c>
      <c r="T18" s="54" t="inlineStr">
        <is>
          <t>• Author three parallel dataset variants of matched difficulty, each with a reference solution. The grader re-runs submitted code on unseen data.
• Test the entry page, notebook download, Submit test button and form link with one account for each variant.
• Confirm sittings, invigilators and Colab capacity with the Faculty. Cohort A is about 100 students.
• Agree the moderation sample with the Faculty.
• Prepare the Week 15 demo running order, two typed defence prompts and the digital submission check.</t>
        </is>
      </c>
      <c r="U18" s="54" t="inlineStr">
        <is>
          <t>• A room with stable wifi and a Colab-capable laptop for every student; confirmed seat count; power contingency.
• Entry links or QR codes for each variant.
• Second invigilator for any sitting above 40 students.
• Rubric published in Week 11.</t>
        </is>
      </c>
      <c r="V18" s="54" t="inlineStr">
        <is>
          <t>DIVERGENT: the three dataset variants and their mark schemes. SHARED: format, rules, duration, rubric.</t>
        </is>
      </c>
    </row>
    <row r="19" ht="219.75" customHeight="1" s="36">
      <c r="A19" s="51" t="n">
        <v>15</v>
      </c>
      <c r="B19" s="52" t="inlineStr">
        <is>
          <t>Block 5 - Engineering Project</t>
        </is>
      </c>
      <c r="C19" s="52" t="inlineStr">
        <is>
          <t>Mon 14 Dec 2026</t>
        </is>
      </c>
      <c r="D19" s="52" t="inlineStr">
        <is>
          <t>Fri 18 Dec 2026
08:00-11:00 · Room 105</t>
        </is>
      </c>
      <c r="E19" s="52" t="inlineStr">
        <is>
          <t>Cohort B</t>
        </is>
      </c>
      <c r="F19" s="52" t="inlineStr">
        <is>
          <t>CML3113</t>
        </is>
      </c>
      <c r="G19" s="52" t="inlineStr">
        <is>
          <t>Introduction to Machine Learning in Mining &amp; Petroleum Engineering</t>
        </is>
      </c>
      <c r="H19" s="52" t="inlineStr">
        <is>
          <t>Engineering ML Demo Day, individual viva and reflection</t>
        </is>
      </c>
      <c r="I19" s="52"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52"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K19" s="52"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52"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M19" s="52"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N19" s="52" t="inlineStr">
        <is>
          <t>Team-selected. Example project titles for this cohort: Real-Time Concentrate Quality Predictor; Lithology Classifier from Well Logs; Mining Equipment Failure Risk Model; Rate-of-Penetration Optimiser; Ore/Waste Classifier with a stated cost of error; Production Decline Forecaster.</t>
        </is>
      </c>
      <c r="O19" s="52" t="inlineStr">
        <is>
          <t>Two individual typed answers about their own repository, submitted with the reflection. Live questions are formative.</t>
        </is>
      </c>
      <c r="P19" s="52" t="inlineStr">
        <is>
          <t>None. Semester 2 pre-reading and an optional holiday challenge are issued for students who want to keep going.</t>
        </is>
      </c>
      <c r="Q19" s="52" t="inlineStr">
        <is>
          <t>—</t>
        </is>
      </c>
      <c r="R19" s="52" t="inlineStr">
        <is>
          <t>ENGINEERING ML PROJECT FINAL SUBMISSION (25%). Demo, viva and reflection (10%).</t>
        </is>
      </c>
      <c r="S19" s="52"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T19" s="52"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52"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c r="V19" s="52" t="inlineStr">
        <is>
          <t>DIVERGENT: project titles and invited assessors (invite a mining or petroleum engineer). SHARED: demo format, viva bank structure, rubric.</t>
        </is>
      </c>
    </row>
  </sheetData>
  <autoFilter ref="A4:V19"/>
  <mergeCells count="2">
    <mergeCell ref="A1:T1"/>
    <mergeCell ref="A2:T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2E75B6"/>
    <outlinePr summaryBelow="1" summaryRight="1"/>
    <pageSetUpPr fitToPage="0"/>
  </sheetPr>
  <dimension ref="A1:V19"/>
  <sheetViews>
    <sheetView showFormulas="0" showGridLines="1" showRowColHeaders="1" showZeros="1" rightToLeft="0" tabSelected="0" showOutlineSymbols="1" defaultGridColor="1"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28" customWidth="1" style="35" min="2" max="2"/>
    <col width="18" customWidth="1" style="35" min="3" max="3"/>
    <col width="27" customWidth="1" style="35" min="4" max="4"/>
    <col width="9" customWidth="1" style="35" min="5" max="5"/>
    <col width="12" customWidth="1" style="35" min="6" max="6"/>
    <col width="40" customWidth="1" style="35" min="7" max="7"/>
    <col width="34" customWidth="1" style="35" min="8" max="8"/>
    <col width="62" customWidth="1" style="35" min="9" max="9"/>
    <col width="78" customWidth="1" style="35" min="10" max="10"/>
    <col width="56" customWidth="1" style="35" min="11" max="11"/>
    <col width="50" customWidth="1" style="35" min="12" max="12"/>
    <col width="60" customWidth="1" style="35" min="13" max="14"/>
    <col width="56" customWidth="1" style="35" min="15" max="15"/>
    <col width="44" customWidth="1" style="35" min="16" max="16"/>
    <col width="54" customWidth="1" style="35" min="17" max="17"/>
    <col width="40" customWidth="1" style="35" min="18" max="18"/>
    <col width="46" customWidth="1" style="35" min="19" max="19"/>
    <col width="70" customWidth="1" style="35" min="20" max="20"/>
    <col width="52" customWidth="1" style="35" min="21" max="21"/>
    <col width="46" customWidth="1" style="35" min="22" max="22"/>
  </cols>
  <sheetData>
    <row r="1" ht="25.5" customHeight="1" s="36">
      <c r="A1" s="37" t="inlineStr">
        <is>
          <t>Cohort C — Introduction to Machine Learning in Engineering</t>
        </is>
      </c>
    </row>
    <row r="2" ht="18" customHeight="1" s="36">
      <c r="A2" s="38" t="inlineStr">
        <is>
          <t>Communications + Electrical + Mechatronics and Robotics Engineering · ~50 students (est. 11 project teams of 4-5) · one 3-hour session per week · 45 contact hours · FRIDAY 11:00-14:00, Room 115</t>
        </is>
      </c>
    </row>
    <row r="3"/>
    <row r="4" ht="43.5" customHeight="1" s="36">
      <c r="A4" s="42" t="inlineStr">
        <is>
          <t>Week</t>
        </is>
      </c>
      <c r="B4" s="42" t="inlineStr">
        <is>
          <t>Block / Phase</t>
        </is>
      </c>
      <c r="C4" s="42" t="inlineStr">
        <is>
          <t>Week commencing</t>
        </is>
      </c>
      <c r="D4" s="42" t="inlineStr">
        <is>
          <t>Session date · time · room</t>
        </is>
      </c>
      <c r="E4" s="42" t="inlineStr">
        <is>
          <t>Cohort</t>
        </is>
      </c>
      <c r="F4" s="42" t="inlineStr">
        <is>
          <t>Course code</t>
        </is>
      </c>
      <c r="G4" s="42" t="inlineStr">
        <is>
          <t>Course title</t>
        </is>
      </c>
      <c r="H4" s="42" t="inlineStr">
        <is>
          <t>Topic</t>
        </is>
      </c>
      <c r="I4" s="42" t="inlineStr">
        <is>
          <t>Learning objectives (by the end of the session, students can…)</t>
        </is>
      </c>
      <c r="J4" s="42" t="inlineStr">
        <is>
          <t>3-hour session structure</t>
        </is>
      </c>
      <c r="K4" s="42" t="inlineStr">
        <is>
          <t>Concepts introduced</t>
        </is>
      </c>
      <c r="L4" s="42" t="inlineStr">
        <is>
          <t>Tools introduced</t>
        </is>
      </c>
      <c r="M4" s="42" t="inlineStr">
        <is>
          <t>Practical / lab</t>
        </is>
      </c>
      <c r="N4" s="42" t="inlineStr">
        <is>
          <t>Dataset(s)</t>
        </is>
      </c>
      <c r="O4" s="42" t="inlineStr">
        <is>
          <t>Interactive challenge</t>
        </is>
      </c>
      <c r="P4" s="42" t="inlineStr">
        <is>
          <t>Assignment (due next session)</t>
        </is>
      </c>
      <c r="Q4" s="42" t="inlineStr">
        <is>
          <t>Weekly quiz (QR, auto-graded)</t>
        </is>
      </c>
      <c r="R4" s="42" t="inlineStr">
        <is>
          <t>Project milestone</t>
        </is>
      </c>
      <c r="S4" s="42" t="inlineStr">
        <is>
          <t>Assessment relevance</t>
        </is>
      </c>
      <c r="T4" s="42" t="inlineStr">
        <is>
          <t>Lecturer preparation</t>
        </is>
      </c>
      <c r="U4" s="42" t="inlineStr">
        <is>
          <t>Required resources</t>
        </is>
      </c>
      <c r="V4" s="42" t="inlineStr">
        <is>
          <t>Shared vs cohort-specific</t>
        </is>
      </c>
    </row>
    <row r="5" ht="219.75" customHeight="1" s="36">
      <c r="A5" s="46" t="n">
        <v>1</v>
      </c>
      <c r="B5" s="47" t="inlineStr">
        <is>
          <t>Block 1 - Orientation &amp; Computational Thinking</t>
        </is>
      </c>
      <c r="C5" s="47" t="inlineStr">
        <is>
          <t>Mon 07 Sep 2026</t>
        </is>
      </c>
      <c r="D5" s="47" t="inlineStr">
        <is>
          <t>Fri 11 Sep 2026
11:00-14:00 · Room 115</t>
        </is>
      </c>
      <c r="E5" s="47" t="inlineStr">
        <is>
          <t>Cohort C</t>
        </is>
      </c>
      <c r="F5" s="47" t="inlineStr">
        <is>
          <t>CML3111</t>
        </is>
      </c>
      <c r="G5" s="47" t="inlineStr">
        <is>
          <t>Introduction to Machine Learning in Engineering</t>
        </is>
      </c>
      <c r="H5" s="47" t="inlineStr">
        <is>
          <t>The engineering problem that needs data</t>
        </is>
      </c>
      <c r="I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K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C FRAMING: Framing question for the cohort: 'This machine has four sensors on it. It failed last month. Could we have known?' Second framing question: 'Can we predict the plant's power output from ambient conditions alone?'</t>
        </is>
      </c>
      <c r="N5" s="47" t="inlineStr">
        <is>
          <t>Printed 12-row extract of AI4I 2020 Predictive Maintenance (UCI 601): air and process temperature, rotational speed, torque and tool wear -&gt; machine failure yes or no. Row 13's outcome is withheld. Alternative extract for the electrical stream: Combined Cycle Power Plant (UCI 294) - ambient conditions -&gt; power output.</t>
        </is>
      </c>
      <c r="O5" s="47" t="inlineStr">
        <is>
          <t>Problem Hunt (see structure). Deliberately unguided: no template, no worked example. The lecturer only asks questions.</t>
        </is>
      </c>
      <c r="P5" s="47" t="inlineStr">
        <is>
          <t>A1 (one page): 'Three problems, one dataset' - three candidate ML problems from their discipline, the data each would need, and where that data might come from. PLUS the environment install checklist to be completed before Week 2.</t>
        </is>
      </c>
      <c r="Q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47" t="inlineStr">
        <is>
          <t>Project teams formed and registered. Team charter signed (roles, contact, meeting slot, conflict rule).</t>
        </is>
      </c>
      <c r="S5" s="47" t="inlineStr">
        <is>
          <t>A1 contributes to Practical Challenges &amp; Assignments (10%). Marked pass / redo - the point is engagement, not polish.</t>
        </is>
      </c>
      <c r="T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C: Problem Hunt prompt cards for sensors, signals, energy systems, fault detection, predictive maintenance, communications, robotics and anomaly detection.</t>
        </is>
      </c>
      <c r="U5" s="47" t="inlineStr">
        <is>
          <t>• Projector, whiteboard, marker pens, flipchart or A3 sheets.
• Printed dataset extracts, printed install guide, printed course outline.
• Laptop-access survey (paper, for 100% return).
• No student computers required this week - by design.</t>
        </is>
      </c>
      <c r="V5" s="47" t="inlineStr">
        <is>
          <t>DIVERGENT: anchor dataset, framing questions, Problem Hunt prompts. SHARED: everything else.</t>
        </is>
      </c>
    </row>
    <row r="6" ht="219.75" customHeight="1" s="36">
      <c r="A6" s="48" t="n">
        <v>2</v>
      </c>
      <c r="B6" s="49" t="inlineStr">
        <is>
          <t>Block 1 - Orientation &amp; Computational Thinking</t>
        </is>
      </c>
      <c r="C6" s="49" t="inlineStr">
        <is>
          <t>Mon 14 Sep 2026</t>
        </is>
      </c>
      <c r="D6" s="49" t="inlineStr">
        <is>
          <t>Fri 18 Sep 2026
11:00-14:00 · Room 115</t>
        </is>
      </c>
      <c r="E6" s="49" t="inlineStr">
        <is>
          <t>Cohort C</t>
        </is>
      </c>
      <c r="F6" s="49" t="inlineStr">
        <is>
          <t>CML3111</t>
        </is>
      </c>
      <c r="G6" s="49" t="inlineStr">
        <is>
          <t>Introduction to Machine Learning in Engineering</t>
        </is>
      </c>
      <c r="H6" s="49" t="inlineStr">
        <is>
          <t>Colab notebooks and version control</t>
        </is>
      </c>
      <c r="I6" s="49" t="inlineStr">
        <is>
          <t>• Open and run a notebook in Colab.
• Explain cells, kernel state and Restart and Run All.
• Read error messages and repair four simple failures.
• Create a GitHub repository and save a notebook with a useful commit message.</t>
        </is>
      </c>
      <c r="J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K6" s="49" t="inlineStr">
        <is>
          <t>• Cell, kernel, hidden state and reproducibility.
• Working directory and relative path.
• Repository, staging, commit, push and README.</t>
        </is>
      </c>
      <c r="L6" s="49" t="inlineStr">
        <is>
          <t>• Google Colab is the primary route.
• GitHub stores the work and its history.
• Pre-provisioned Jupyter lab machines are the connection fallback.</t>
        </is>
      </c>
      <c r="M6" s="49" t="inlineStr">
        <is>
          <t>Use setup/&lt;cohort&gt;/proof_of_life.ipynb and its four-row CSV. Run, predict repeated execution, restart and run all, then save to GitHub.</t>
        </is>
      </c>
      <c r="N6" s="49" t="inlineStr">
        <is>
          <t>None. A single small CSV is opened only to prove the environment works.</t>
        </is>
      </c>
      <c r="O6" s="49" t="inlineStr">
        <is>
          <t>Repair the four supplied notebooks: unavailable import, wrong Python-version expectation, wrong path and hidden state. Explain each cause in one sentence.</t>
        </is>
      </c>
      <c r="P6" s="49" t="inlineStr">
        <is>
          <t>A2 Proof of Life: submit the repository URL and named notebook through the assignment form. Upload the README; keep the CSV in your repository. See setup/A2_assignment_brief.md. Due at the start of Week 3.</t>
        </is>
      </c>
      <c r="Q6" s="49" t="inlineStr">
        <is>
          <t>QUIZ 2 - notebooks and version control
Out-of-order execution diagnosed from a cell-numbering trace, what Restart and Run All proves, and reading one git status output. A2 separately checks readiness for Week 3.</t>
        </is>
      </c>
      <c r="R6" s="49" t="inlineStr">
        <is>
          <t>Each student has a working notebook and repository. Team collaboration continues from Week 1.</t>
        </is>
      </c>
      <c r="S6" s="49" t="inlineStr">
        <is>
          <t>A2 is one of eleven challenges, best eight contributing 10%. The Week 2 quiz is one of twelve quizzes, best ten contributing 10%.</t>
        </is>
      </c>
      <c r="T6" s="49" t="inlineStr">
        <is>
          <t>• Rehearse Colab sign-in and the lab fallback with a student account.
• Distribute the small cohort ZIP from setup/ before class.
• Run setup/check_setup.py on lab machines.
• Check the Week 2 form and displayed deadline. Brief floor helpers.</t>
        </is>
      </c>
      <c r="U6" s="49" t="inlineStr">
        <is>
          <t>• Laptop or provisioned lab computer, charger, cohort ZIP and a printed copy of setup/README.md.
• USB/local-share copy for connection outages.</t>
        </is>
      </c>
      <c r="V6" s="49" t="inlineStr">
        <is>
          <t>Largely shared — check the Shared vs Divergent sheet.</t>
        </is>
      </c>
    </row>
    <row r="7" ht="219.75" customHeight="1" s="36">
      <c r="A7" s="46" t="n">
        <v>3</v>
      </c>
      <c r="B7" s="47" t="inlineStr">
        <is>
          <t>Block 1 - Orientation &amp; Computational Thinking</t>
        </is>
      </c>
      <c r="C7" s="47" t="inlineStr">
        <is>
          <t>Mon 21 Sep 2026</t>
        </is>
      </c>
      <c r="D7" s="47" t="inlineStr">
        <is>
          <t>Fri 25 Sep 2026
11:00-14:00 · Room 115</t>
        </is>
      </c>
      <c r="E7" s="47" t="inlineStr">
        <is>
          <t>Cohort C</t>
        </is>
      </c>
      <c r="F7" s="47" t="inlineStr">
        <is>
          <t>CML3111</t>
        </is>
      </c>
      <c r="G7" s="47" t="inlineStr">
        <is>
          <t>Introduction to Machine Learning in Engineering</t>
        </is>
      </c>
      <c r="H7" s="47" t="inlineStr">
        <is>
          <t>Python as an engineering calculator</t>
        </is>
      </c>
      <c r="I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K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C FRAMING: Formula set: Ohm's law and electrical power; three-phase real power with a power factor; motor torque and the conversion from revolutions per minute to radians per second; gear ratio and output speed; decibel conversion; RC time constant; and root-mean-square of a sampled signal.</t>
        </is>
      </c>
      <c r="N7" s="47" t="inlineStr">
        <is>
          <t>No dataset - formula-driven.</t>
        </is>
      </c>
      <c r="O7" s="47" t="inlineStr">
        <is>
          <t>Wrong Answer Hunt - six silently wrong functions. Chosen because 'it ran, therefore it is right' is the single most dangerous belief a beginner can form, and it is fatal later in model evaluation.</t>
        </is>
      </c>
      <c r="P7" s="47" t="inlineStr">
        <is>
          <t>A3: complete the five tasks in practicals/W03/&lt;cohort&gt;/W03_student.ipynb. The broader function library is practice. Submit the named notebook through the assignment form.</t>
        </is>
      </c>
      <c r="Q7" s="47" t="inlineStr">
        <is>
          <t>QUIZ 3 - Python as an engineering calculator
A unit error that returns a plausible wrong number, a function that returns nothing because it prints instead, an if-chain whose branches are in the wrong order, and one traceback.</t>
        </is>
      </c>
      <c r="R7" s="47" t="inlineStr">
        <is>
          <t>Team repository has a working code file and a commit history with more than one contributor.</t>
        </is>
      </c>
      <c r="S7" s="47" t="inlineStr">
        <is>
          <t>A3 contributes to Practical Challenges &amp; Assignments (10%). Function-writing and traceback-reading are directly examined in Practical Test 1 (Week 7).</t>
        </is>
      </c>
      <c r="T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47" t="inlineStr">
        <is>
          <t>• Computers, projector, printed formula sheet for the cohort.
• Printed Python syntax cheat sheet (one page, both sides).
• Wrong Answer Hunt notebook distributed offline via USB or the network share.</t>
        </is>
      </c>
      <c r="V7" s="47" t="inlineStr">
        <is>
          <t>DIVERGENT: the six formulas and the Wrong Answer Hunt traps (degrees vs radians, RPM vs rad/s, power vs apparent power, dB vs linear). SHARED: all concepts and structure.</t>
        </is>
      </c>
    </row>
    <row r="8" ht="219.75" customHeight="1" s="36">
      <c r="A8" s="48" t="n">
        <v>4</v>
      </c>
      <c r="B8" s="49" t="inlineStr">
        <is>
          <t>Block 1 - Orientation &amp; Computational Thinking</t>
        </is>
      </c>
      <c r="C8" s="49" t="inlineStr">
        <is>
          <t>Mon 28 Sep 2026</t>
        </is>
      </c>
      <c r="D8" s="49" t="inlineStr">
        <is>
          <t>Fri 02 Oct 2026
11:00-14:00 · Room 115</t>
        </is>
      </c>
      <c r="E8" s="49" t="inlineStr">
        <is>
          <t>Cohort C</t>
        </is>
      </c>
      <c r="F8" s="49" t="inlineStr">
        <is>
          <t>CML3111</t>
        </is>
      </c>
      <c r="G8" s="49" t="inlineStr">
        <is>
          <t>Introduction to Machine Learning in Engineering</t>
        </is>
      </c>
      <c r="H8" s="49" t="inlineStr">
        <is>
          <t>Python for problem solving: collections, loops and files</t>
        </is>
      </c>
      <c r="I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K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49" t="inlineStr">
        <is>
          <t>• The csv module and open() - deliberately no pandas yet.
• The VS Code debugger on a loop, to watch an accumulator fill.
• Git: incremental commits during the build.</t>
        </is>
      </c>
      <c r="M8" s="49" t="inlineStr">
        <is>
          <t>Reading Report script (see structure). Core tier: handle a clean file. Stretch tier: survive a file containing blank lines, a stray text value in a numeric column and a duplicated header row - which is exactly what Week 6 formalises.</t>
        </is>
      </c>
      <c r="N8" s="49" t="inlineStr">
        <is>
          <t>COURSE-AUTHORED: 'motor_test_bench.csv' (~300 rows) - a fictional but realistic bench log with motor ID, supply voltage, current, RPM, winding temperature, vibration RMS and a pass/fail flag. Contains one genuine finding (one motor or one voltage condition with systematically higher temperature rise), two red herrings and realistic dirt.</t>
        </is>
      </c>
      <c r="O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49" t="inlineStr">
        <is>
          <t>A4: the Reading Report notebook with four automatically checked summaries. See practicals/W04/&lt;cohort&gt;/README.md. The 150-word interpretation is formative practice.</t>
        </is>
      </c>
      <c r="Q8" s="49" t="inlineStr">
        <is>
          <t>QUIZ 4 - collections, loops and files
An accumulator reset inside the loop, a range off-by-one, a value read from a file as a string, and a skipped-row count that was never reported.</t>
        </is>
      </c>
      <c r="R8" s="49" t="inlineStr">
        <is>
          <t>Each team submits a one-paragraph statement of the kind of engineering problem it wants to work on for the semester (not yet a dataset).</t>
        </is>
      </c>
      <c r="S8" s="49" t="inlineStr">
        <is>
          <t>A4 contributes to Practical Challenges &amp; Assignments (10%). Investigation Lab 1 is the direct rehearsal for Practical Test 1 in Week 7 and establishes the no-spoon-feeding norm.</t>
        </is>
      </c>
      <c r="T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49" t="inlineStr">
        <is>
          <t>• Computers, the Investigation Lab data file distributed offline.
• Printed question-bank cards.
• Timer visible to the room - the pitch round must not overrun.
• Flipchart for the findings pitches.</t>
        </is>
      </c>
      <c r="V8" s="49" t="inlineStr">
        <is>
          <t>DIVERGENT: the Investigation Lab file and its planted story. SHARED: all Python content.</t>
        </is>
      </c>
    </row>
    <row r="9" ht="219.75" customHeight="1" s="36">
      <c r="A9" s="51" t="n">
        <v>5</v>
      </c>
      <c r="B9" s="52" t="inlineStr">
        <is>
          <t>Block 2 - Engineering Data</t>
        </is>
      </c>
      <c r="C9" s="52" t="inlineStr">
        <is>
          <t>Mon 05 Oct 2026</t>
        </is>
      </c>
      <c r="D9" s="52" t="inlineStr">
        <is>
          <t>Fri 09 Oct 2026
11:00-14:00 · Room 115</t>
        </is>
      </c>
      <c r="E9" s="52" t="inlineStr">
        <is>
          <t>Cohort C</t>
        </is>
      </c>
      <c r="F9" s="52" t="inlineStr">
        <is>
          <t>CML3111</t>
        </is>
      </c>
      <c r="G9" s="52" t="inlineStr">
        <is>
          <t>Introduction to Machine Learning in Engineering</t>
        </is>
      </c>
      <c r="H9" s="52" t="inlineStr">
        <is>
          <t>NumPy and pandas: the engineer's data table, and where data comes from</t>
        </is>
      </c>
      <c r="I9" s="52"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52"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K9" s="52"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52" t="inlineStr">
        <is>
          <t>• NumPy.
• pandas.
• Kaggle (search, dataset cards, download, public notebooks as worked examples).
• UCI Machine Learning Repository and the ucimlrepo package.
• Jupyter as the primary surface from this week onward.</t>
        </is>
      </c>
      <c r="M9" s="52" t="inlineStr">
        <is>
          <t>Twelve Questions interrogation notebook on the anchor dataset (see structure). Core tier: answer all twelve. Stretch tier: add two questions of their own and answer them.
COHORT C FRAMING: The twelve questions include: how does power output vary with ambient temperature band; which variable is most strongly associated with output; what is the distribution of exhaust vacuum; do high-humidity hours behave differently; and for AI4I, what is the failure rate by product quality variant and by tool wear band.</t>
        </is>
      </c>
      <c r="N9" s="52" t="inlineStr">
        <is>
          <t>ANCHOR: Combined Cycle Power Plant (UCI 294, 9,568 rows, ambient temperature, pressure, humidity and exhaust vacuum -&gt; net hourly power output). SECONDARY: AI4I 2020 Predictive Maintenance (UCI 601, CC BY 4.0, 10,000 rows) for the sensor and maintenance framing.</t>
        </is>
      </c>
      <c r="O9" s="52" t="inlineStr">
        <is>
          <t>Ten Questions, No Help - a timed, unassisted interrogation of an unfamiliar dataset. Directly calibrates students against the Week 7 test format.</t>
        </is>
      </c>
      <c r="P9" s="52" t="inlineStr">
        <is>
          <t>A5: complete the six automatically checked campus-energy tasks in practicals/W05/&lt;cohort&gt;/W05_student.ipynb. The Twelve Questions anchor-data investigation remains practice.</t>
        </is>
      </c>
      <c r="Q9" s="52" t="inlineStr">
        <is>
          <t>QUIZ 5 - pandas and judging a dataset
A mask confused with a filtered frame, a groupby result whose shape is misread, a dtype of 'object' on a numeric column, and one question on where a dataset came from.</t>
        </is>
      </c>
      <c r="R9" s="52" t="inlineStr">
        <is>
          <t>DATA ANALYSIS PROJECT launched. Each team selects a dataset from the approved list (or proposes one for approval), and registers the engineering question it will answer.</t>
        </is>
      </c>
      <c r="S9" s="52" t="inlineStr">
        <is>
          <t>A5 contributes to Practical Challenges &amp; Assignments (10%). The Data Analysis Project is 10% in its own right. pandas fluency is the core of Practical Test 1 (Week 7).</t>
        </is>
      </c>
      <c r="T9" s="52"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U9" s="52"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52" t="inlineStr">
        <is>
          <t>DIVERGENT: anchor dataset and the twelve questions. SHARED: all pandas and NumPy content and the sourcing segment.</t>
        </is>
      </c>
    </row>
    <row r="10" ht="219.75" customHeight="1" s="36">
      <c r="A10" s="48" t="n">
        <v>6</v>
      </c>
      <c r="B10" s="49" t="inlineStr">
        <is>
          <t>Block 2 - Engineering Data</t>
        </is>
      </c>
      <c r="C10" s="49" t="inlineStr">
        <is>
          <t>Mon 12 Oct 2026</t>
        </is>
      </c>
      <c r="D10" s="49" t="inlineStr">
        <is>
          <t>Fri 16 Oct 2026
11:00-14:00 · Room 115</t>
        </is>
      </c>
      <c r="E10" s="49" t="inlineStr">
        <is>
          <t>Cohort C</t>
        </is>
      </c>
      <c r="F10" s="49" t="inlineStr">
        <is>
          <t>CML3111</t>
        </is>
      </c>
      <c r="G10" s="49" t="inlineStr">
        <is>
          <t>Introduction to Machine Learning in Engineering</t>
        </is>
      </c>
      <c r="H10" s="49" t="inlineStr">
        <is>
          <t>Dirty data, and seeing it: data quality through visualisation</t>
        </is>
      </c>
      <c r="I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K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C FRAMING: Outlier Argument cases from electrical and mechatronic reality: a current spike at motor start-up, a winding temperature of 200 degrees, a vibration reading of exactly zero for six hours, a negative power reading, and an RPM value of 30,000.</t>
        </is>
      </c>
      <c r="N10" s="49" t="inlineStr">
        <is>
          <t>COURSE-AUTHORED damaged variant of the Combined Cycle or AI4I dataset, plus a fictional 'sensor_stream.csv' with sensor dropouts coded as zero, stuck-at values, a timestamp gap, duplicated logger exports, and two genuinely arguable extremes (a real transient during a start-up and a suspected sensor fault).</t>
        </is>
      </c>
      <c r="O10" s="49" t="inlineStr">
        <is>
          <t>The Outlier Argument - forces a judgement call with no lookup answer, and rewards domain reasoning over technique.</t>
        </is>
      </c>
      <c r="P10" s="49" t="inlineStr">
        <is>
          <t>A6 / W06: use the issued cohort notebook and TASKS.md in assessment_banks/W06. Complete the cleaning, summary and audit interfaces plus the designated written-evidence cell. The broader Data Clinic and project work are practice and project development.</t>
        </is>
      </c>
      <c r="Q10" s="49" t="inlineStr">
        <is>
          <t>QUIZ 6 - dirty data, and seeing it
A zero-coded missing value, a chart that does not answer the stated question, and an extreme value that has to be judged as an error or a real measurement.</t>
        </is>
      </c>
      <c r="R10" s="49" t="inlineStr">
        <is>
          <t>Data Analysis Project: cleaned dataset and at least four question-driven charts committed to the repository.</t>
        </is>
      </c>
      <c r="S10" s="49" t="inlineStr">
        <is>
          <t>A6 contributes to Practical Challenges &amp; Assignments (10%). Cleaning judgement and chart quality are 40% of the Practical Test 1 rubric.</t>
        </is>
      </c>
      <c r="T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49" t="inlineStr">
        <is>
          <t>• Computers; the damaged dataset offline; seaborn/matplotlib cheat sheet.
• Printed defect register template.
• Practical Test 1 information sheet and rubric for distribution.
• Colour printing or a good projector for the chart-quality comparison.</t>
        </is>
      </c>
      <c r="V10" s="49" t="inlineStr">
        <is>
          <t>DIVERGENT: the damaged dataset and the five outlier cases. The 'stuck-at-zero sensor' case is emphasised for this cohort because it is the defect they will meet most often in practice. SHARED: all cleaning and visualisation content.</t>
        </is>
      </c>
    </row>
    <row r="11" ht="219.75" customHeight="1" s="36">
      <c r="A11" s="53" t="n">
        <v>7</v>
      </c>
      <c r="B11" s="54" t="inlineStr">
        <is>
          <t>ASSESSMENT WEEK 1</t>
        </is>
      </c>
      <c r="C11" s="54" t="inlineStr">
        <is>
          <t>Mon 19 Oct 2026</t>
        </is>
      </c>
      <c r="D11" s="54" t="inlineStr">
        <is>
          <t>Fri 23 Oct 2026
11:00-14:00 · Room 115</t>
        </is>
      </c>
      <c r="E11" s="54" t="inlineStr">
        <is>
          <t>Cohort C</t>
        </is>
      </c>
      <c r="F11" s="54" t="inlineStr">
        <is>
          <t>CML3111</t>
        </is>
      </c>
      <c r="G11" s="54" t="inlineStr">
        <is>
          <t>Introduction to Machine Learning in Engineering</t>
        </is>
      </c>
      <c r="H11" s="54" t="inlineStr">
        <is>
          <t>PRACTICAL TEST 1 - Data Investigation (individual, timed Colab practical)</t>
        </is>
      </c>
      <c r="I11" s="54" t="inlineStr">
        <is>
          <t>• Read, inspect and clean an unfamiliar engineering dataset without a prescribed method, and check the result with charts.
• Calculate summary statistics and group means with pandas and report them accurately.
• Write a function that works on any table, and a loop with conditions.
• Explain their own submitted code when asked, without AI or another person's help.</t>
        </is>
      </c>
      <c r="J11" s="54" t="inlineStr">
        <is>
          <t>• 0:00-0:10  Entry link, private notebook and CSV, rules read aloud, identity cell checked.
• 0:10-2:25  CODING (135 minutes). Individual, in Colab. Eight coded tasks: read and inspect the file, a chart before cleaning, cleaning, a chart after cleaning, statistics, grouping, one function, and a loop with conditions.
• 2:25-2:40  CHECKING (15 minutes). Restart the session and Run all.
• 2:40-3:00  FINAL SAVE AND SUBMISSION (20 minutes). Submit test button, generated form link, confirmation.</t>
        </is>
      </c>
      <c r="K11" s="54" t="inlineStr">
        <is>
          <t>• No new concepts. Weeks 1-6 are examined: pandas, cleaning judgement, visualisation, engineering interpretation.
• Examined implicitly: the ability to proceed without instructions.</t>
        </is>
      </c>
      <c r="L11" s="54" t="inlineStr">
        <is>
          <t>• Permitted: Colab, pandas, matplotlib, ordinary Python, and your lecture slides, revision guide, cheatsheet and personal course notes.
• Prohibited: AI tools, help from another person and copied work. Colab cannot block an AI assistant, so the rule rests on the declaration, hidden-data grading and an understanding check in which a student may be asked to explain or change their own code.
• Rationale published to students in Week 6: AI is permitted and encouraged in projects, where the work is explained and defended; it is excluded from the two tests, which certify unaided capability.</t>
        </is>
      </c>
      <c r="M11" s="54" t="inlineStr">
        <is>
          <t>The test is a coding practical in Colab, three hours from the start including setup, checking and submission. Three parallel dataset variants are issued by the entry page, and the deterministic grader re-runs the submitted code on other data.</t>
        </is>
      </c>
      <c r="N11" s="54" t="inlineStr">
        <is>
          <t>UNSEEN test datasets, three matched variants from sensor, electrical or machine data. Suggested: a held-back slice of Combined Cycle Power Plant, Steel Plates Faults (UCI 198, CC BY 4.0, 27 features, 7 fault classes), and a course-authored sensor log. Variants matched for row count, defect count and difficulty.</t>
        </is>
      </c>
      <c r="O11" s="54" t="inlineStr">
        <is>
          <t>The entire assessment is the challenge: an unfamiliar dataset, no prescribed method, and marks awarded for reasoning as much as for result.</t>
        </is>
      </c>
      <c r="P11" s="54" t="inlineStr">
        <is>
          <t>None issued. Week 8 pre-reading only (a two-page primer on the idea of fitting a line), so the test week carries no homework load.</t>
        </is>
      </c>
      <c r="Q11" s="54" t="inlineStr">
        <is>
          <t>—</t>
        </is>
      </c>
      <c r="R11" s="54" t="inlineStr">
        <is>
          <t>Data Analysis Project continues outside class; due Week 8.</t>
        </is>
      </c>
      <c r="S11" s="54" t="inlineStr">
        <is>
          <t>PRACTICAL TEST 1 = 15% of the Semester 1 mark. Individual. Rubric: reading and inspecting 20, chart before cleaning 10, cleaning 20, chart after cleaning 10, statistics 15, grouping 10, one function 5, conditions and a loop 10.</t>
        </is>
      </c>
      <c r="T11" s="54" t="inlineStr">
        <is>
          <t>• Author three parallel dataset variants of matched difficulty, and the hidden data the grader uses.
• Test the entry page, private notebook, countdown, Submit test button and form link with one account for each variant.
• Confirm that every student has a Google account that works with Colab and the submission form.
• The deterministic grader marks all eight tasks, so no structural auto-check script is needed.
• Agree the moderation plan and the late and absent policy with the Faculty in advance.</t>
        </is>
      </c>
      <c r="U11" s="54" t="inlineStr">
        <is>
          <t>• A Colab-capable laptop and a stable connection for every student.
• An entry link or QR code for each variant.
• Published rubric (issued Week 6).
• A short understanding check for a sample of students after the test.</t>
        </is>
      </c>
      <c r="V11" s="54" t="inlineStr">
        <is>
          <t>DIVERGENT: the three dataset variants and their mark schemes. SHARED: format, rules, duration, rubric, issued notebook bundle.</t>
        </is>
      </c>
    </row>
    <row r="12" ht="219.75" customHeight="1" s="36">
      <c r="A12" s="48" t="n">
        <v>8</v>
      </c>
      <c r="B12" s="49" t="inlineStr">
        <is>
          <t>Block 3 - The Machine Learning Core</t>
        </is>
      </c>
      <c r="C12" s="49" t="inlineStr">
        <is>
          <t>Mon 26 Oct 2026</t>
        </is>
      </c>
      <c r="D12" s="49" t="inlineStr">
        <is>
          <t>Fri 30 Oct 2026
11:00-14:00 · Room 115</t>
        </is>
      </c>
      <c r="E12" s="49" t="inlineStr">
        <is>
          <t>Cohort C</t>
        </is>
      </c>
      <c r="F12" s="49" t="inlineStr">
        <is>
          <t>CML3111</t>
        </is>
      </c>
      <c r="G12" s="49" t="inlineStr">
        <is>
          <t>Introduction to Machine Learning in Engineering</t>
        </is>
      </c>
      <c r="H12" s="49" t="inlineStr">
        <is>
          <t>Learning from data: the first model</t>
        </is>
      </c>
      <c r="I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K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49" t="inlineStr">
        <is>
          <t>First Model notebook (see structure). Core tier: a working, evaluated regression with the error stated in physical units. Stretch tier: a residual plot with a written interpretation of where the model is worst and a hypothesis as to why.
COHORT C FRAMING: The error must be reported as 'plus or minus X MW', and the class must answer: is that accurate enough to schedule generation or to trade on? Published benchmarks reach roughly 3 MW RMSE, which gives the class an honest external yardstick to compare themselves against.</t>
        </is>
      </c>
      <c r="N12" s="49" t="inlineStr">
        <is>
          <t>Combined Cycle Power Plant (UCI 294) predicting net hourly electrical power output in megawatts - a regression with a directly meaningful engineering error unit.</t>
        </is>
      </c>
      <c r="O12" s="49" t="inlineStr">
        <is>
          <t>Beat the Baseline. The baseline is the pedagogical device: it makes 'R-squared = 0.62' mean something, and it makes an unimpressive model an interesting result rather than a failure.</t>
        </is>
      </c>
      <c r="P12" s="49" t="inlineStr">
        <is>
          <t>A7 / W08: submit the issued cohort notebook with the regression/error interfaces and written interpretation of the supplied comparison. See assessment_banks/W08/&lt;cohort&gt;/A/TASKS.md.</t>
        </is>
      </c>
      <c r="Q12" s="49" t="inlineStr">
        <is>
          <t>QUIZ 7 - the first model
A score quoted on the training rows, a residual plot read the wrong way round, MAE against RMSE on the same data, and a baseline nobody computed.</t>
        </is>
      </c>
      <c r="R12" s="49" t="inlineStr">
        <is>
          <t>DATA ANALYSIS PROJECT DUE (10%). Engineering ML Project brief previewed; teams begin scoping.</t>
        </is>
      </c>
      <c r="S12" s="49" t="inlineStr">
        <is>
          <t>A7 contributes to Practical Challenges (10%). Data Analysis Project is submitted and marked (10%). Regression, metrics and train/test are core to Practical Test 2 (Week 14).</t>
        </is>
      </c>
      <c r="T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49" t="inlineStr">
        <is>
          <t>• Computers; anchor dataset offline; projector.
• Leaderboard display.
• Printed sklearn API card (fit / predict / score / metrics).
• Marked or triaged Test 1 scripts for the debrief.</t>
        </is>
      </c>
      <c r="V12" s="49" t="inlineStr">
        <is>
          <t>DIVERGENT: dataset, target, physical error unit, and the availability of a published benchmark. SHARED: all regression and metric content.</t>
        </is>
      </c>
    </row>
    <row r="13" ht="219.75" customHeight="1" s="36">
      <c r="A13" s="46" t="n">
        <v>9</v>
      </c>
      <c r="B13" s="47" t="inlineStr">
        <is>
          <t>Block 3 - The Machine Learning Core</t>
        </is>
      </c>
      <c r="C13" s="47" t="inlineStr">
        <is>
          <t>Mon 02 Nov 2026</t>
        </is>
      </c>
      <c r="D13" s="47" t="inlineStr">
        <is>
          <t>Fri 06 Nov 2026
11:00-14:00 · Room 115</t>
        </is>
      </c>
      <c r="E13" s="47" t="inlineStr">
        <is>
          <t>Cohort C</t>
        </is>
      </c>
      <c r="F13" s="47" t="inlineStr">
        <is>
          <t>CML3111</t>
        </is>
      </c>
      <c r="G13" s="47" t="inlineStr">
        <is>
          <t>Introduction to Machine Learning in Engineering</t>
        </is>
      </c>
      <c r="H13" s="47" t="inlineStr">
        <is>
          <t>Classification: predicting which category a case belongs to</t>
        </is>
      </c>
      <c r="I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K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47" t="inlineStr">
        <is>
          <t>• scikit-learn: LogisticRegression, DecisionTreeClassifier, RandomForestClassifier, confusion_matrix, ConfusionMatrixDisplay, classification_report, plot_tree.
• seaborn for the confusion matrix heatmap.
• pandas for the cost table.</t>
        </is>
      </c>
      <c r="M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C FRAMING: Cost table categories: cost of a false alarm that stops a line, cost of a missed failure including damage and downtime, cost of an unnecessary maintenance callout, and the safety consequence of an undetected fault. The asymmetry is stark here, which makes recall the obvious answer - and then the class must confront how many false alarms operators will actually tolerate before they disable the alarm.</t>
        </is>
      </c>
      <c r="N13" s="47" t="inlineStr">
        <is>
          <t>Primary: AI4I 2020 Predictive Maintenance (UCI 601) - machine failure, 3.4% positive rate, which is the natural home of The 97% Trap. Secondary: Steel Plates Faults (UCI 198) for a genuine multi-class problem with seven fault types.</t>
        </is>
      </c>
      <c r="O13" s="47" t="inlineStr">
        <is>
          <t>The 97% Trap. Deliberately adversarial. It inoculates students against the single most common failure in applied ML, and it is a low-guidance session by design.</t>
        </is>
      </c>
      <c r="P13" s="47" t="inlineStr">
        <is>
          <t>A8 / W09: submit the issued cohort notebook with classification checks and written interpretation of the supplied cost scenario. See assessment_banks/W09/&lt;cohort&gt;/A/TASKS.md.</t>
        </is>
      </c>
      <c r="Q13" s="47" t="inlineStr">
        <is>
          <t>QUIZ 8 - classification
A confusion matrix read for what the model does badly, an accuracy figure quoted without the class balance, and a threshold moved with its effect on each cell.</t>
        </is>
      </c>
      <c r="R13" s="47" t="inlineStr">
        <is>
          <t>ENGINEERING ML PROJECT launched (25%, runs to Week 15). Teams must register a problem statement, a candidate dataset and a named target variable by Week 10.</t>
        </is>
      </c>
      <c r="S13" s="47" t="inlineStr">
        <is>
          <t>A8 contributes to Practical Challenges (10%). The Engineering ML Project brief and rubric are now live. Classification and metric choice are examined in Practical Test 2.</t>
        </is>
      </c>
      <c r="T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47" t="inlineStr">
        <is>
          <t>DIVERGENT: dataset, class definitions and cost categories. SHARED: all classification content and the 97% Trap design.</t>
        </is>
      </c>
    </row>
    <row r="14" ht="219.75" customHeight="1" s="36">
      <c r="A14" s="48" t="n">
        <v>10</v>
      </c>
      <c r="B14" s="49" t="inlineStr">
        <is>
          <t>Block 3 - The Machine Learning Core</t>
        </is>
      </c>
      <c r="C14" s="49" t="inlineStr">
        <is>
          <t>Mon 09 Nov 2026</t>
        </is>
      </c>
      <c r="D14" s="49" t="inlineStr">
        <is>
          <t>Fri 13 Nov 2026
11:00-14:00 · Room 115</t>
        </is>
      </c>
      <c r="E14" s="49" t="inlineStr">
        <is>
          <t>Cohort C</t>
        </is>
      </c>
      <c r="F14" s="49" t="inlineStr">
        <is>
          <t>CML3111</t>
        </is>
      </c>
      <c r="G14" s="49" t="inlineStr">
        <is>
          <t>Introduction to Machine Learning in Engineering</t>
        </is>
      </c>
      <c r="H14" s="49" t="inlineStr">
        <is>
          <t>Can I trust this model?</t>
        </is>
      </c>
      <c r="I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K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49" t="inlineStr">
        <is>
          <t>The team's own project dataset, plus three course-authored 'Too Good To Be True' notebooks. Planted causes for this cohort: a maintenance-action column left in the features while predicting failure; duplicated logger rows spanning the split; and a machine identifier that encodes which units were already known to be failing.</t>
        </is>
      </c>
      <c r="O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49" t="inlineStr">
        <is>
          <t>A9 / W10: submit the issued cohort notebook with group-split/preprocessing checks and written leakage/conditions-of-use evidence. The broader project Trust Lab remains project development.</t>
        </is>
      </c>
      <c r="Q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49" t="inlineStr">
        <is>
          <t>PROJECT MILESTONE 1 (graded milestone): problem statement, dataset with licence, named target, and a baseline notebook. Each member's contribution log must be present in the repository.</t>
        </is>
      </c>
      <c r="S14" s="49" t="inlineStr">
        <is>
          <t>A9 contributes to Practical Challenges (10%). PM1 is a graded milestone within the Engineering ML Project (25%). Validation carries 15 of the 100 marks in the project rubric, and leakage control carries 20 of the 100 marks in the Practical Test 2 rubric.</t>
        </is>
      </c>
      <c r="T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49" t="inlineStr">
        <is>
          <t>• Computers; the three challenge notebooks offline; projector.
• Printed PM1 checklist and contribution log template.
• Printed leakage taxonomy card (four kinds, one example each).
• Timer for the PM1 stand-ups.</t>
        </is>
      </c>
      <c r="V14" s="49" t="inlineStr">
        <is>
          <t>DIVERGENT: the planted leakage causes are dressed in sensor and maintenance terms, and temporal leakage is emphasised because sensor data is a time series. SHARED: all validation content.</t>
        </is>
      </c>
    </row>
    <row r="15" ht="219.75" customHeight="1" s="36">
      <c r="A15" s="46" t="n">
        <v>11</v>
      </c>
      <c r="B15" s="47" t="inlineStr">
        <is>
          <t>Block 4 - Practical Machine Learning Judgement</t>
        </is>
      </c>
      <c r="C15" s="47" t="inlineStr">
        <is>
          <t>Mon 16 Nov 2026</t>
        </is>
      </c>
      <c r="D15" s="47" t="inlineStr">
        <is>
          <t>Fri 20 Nov 2026
11:00-14:00 · Room 115</t>
        </is>
      </c>
      <c r="E15" s="47" t="inlineStr">
        <is>
          <t>Cohort C</t>
        </is>
      </c>
      <c r="F15" s="47" t="inlineStr">
        <is>
          <t>CML3111</t>
        </is>
      </c>
      <c r="G15" s="47" t="inlineStr">
        <is>
          <t>Introduction to Machine Learning in Engineering</t>
        </is>
      </c>
      <c r="H15" s="47" t="inlineStr">
        <is>
          <t>Features: where engineering knowledge enters the model</t>
        </is>
      </c>
      <c r="I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K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C FRAMING: Domain features that should be engineered: electrical power as voltage times current, temperature rise above ambient, mechanical power as torque times angular velocity, current imbalance across phases, peak-to-RMS ratio of a vibration signal, rolling mean and standard deviation over a sensor window, and cumulative tool wear or operating hours. Mechanical power from torque and speed is the demonstration feature - two raw columns that a physical relationship turns into the single most informative variable in the dataset.</t>
        </is>
      </c>
      <c r="N15" s="47" t="inlineStr">
        <is>
          <t>AI4I 2020 (UCI 601) and Combined Cycle Power Plant (UCI 294).</t>
        </is>
      </c>
      <c r="O15" s="47" t="inlineStr">
        <is>
          <t>Domain Advantage - a controlled experiment run by the students on themselves, comparing raw data plus a better algorithm against domain knowledge plus a simple algorithm.</t>
        </is>
      </c>
      <c r="P15" s="47" t="inlineStr">
        <is>
          <t>A10 / W11: submit the issued cohort notebook with feature/error checks and written interpretation of the supplied ablation. Extend the method to your project separately.</t>
        </is>
      </c>
      <c r="Q15" s="47" t="inlineStr">
        <is>
          <t>QUIZ 10 - features
An ablation table read for which feature earned its place, a one-hot encoding on a high-cardinality column, and a scaler that made no difference to a tree.</t>
        </is>
      </c>
      <c r="R15" s="47" t="inlineStr">
        <is>
          <t>PROJECT MILESTONE 2 briefed this week and due at the start of Week 12 (graded milestone): cleaned dataset, feature dictionary, and a first properly evaluated model inside a Pipeline.</t>
        </is>
      </c>
      <c r="S15" s="47" t="inlineStr">
        <is>
          <t>A10 contributes to Practical Challenges (10%). PM2 is a graded milestone within the project (25%). Engineering reasoning carries 20 of the 100 project marks, and feature construction is where it is most visible.</t>
        </is>
      </c>
      <c r="T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47" t="inlineStr">
        <is>
          <t>DIVERGENT: the feature set and the reference sheet of standard electrical and mechanical relations. This cohort has the strongest physics-to-feature story of the three, so the week is at its most persuasive here. SHARED: all encoding, scaling, pipeline and ablation content.</t>
        </is>
      </c>
    </row>
    <row r="16" ht="219.75" customHeight="1" s="36">
      <c r="A16" s="48" t="n">
        <v>12</v>
      </c>
      <c r="B16" s="49" t="inlineStr">
        <is>
          <t>Block 4 - Practical Machine Learning Judgement</t>
        </is>
      </c>
      <c r="C16" s="49" t="inlineStr">
        <is>
          <t>Mon 23 Nov 2026</t>
        </is>
      </c>
      <c r="D16" s="49" t="inlineStr">
        <is>
          <t>Fri 27 Nov 2026
11:00-14:00 · Room 115</t>
        </is>
      </c>
      <c r="E16" s="49" t="inlineStr">
        <is>
          <t>Cohort C</t>
        </is>
      </c>
      <c r="F16" s="49" t="inlineStr">
        <is>
          <t>CML3111</t>
        </is>
      </c>
      <c r="G16" s="49" t="inlineStr">
        <is>
          <t>Introduction to Machine Learning in Engineering</t>
        </is>
      </c>
      <c r="H16" s="49" t="inlineStr">
        <is>
          <t>Model comparison and engineering judgement (low-guidance week)</t>
        </is>
      </c>
      <c r="I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K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49" t="inlineStr">
        <is>
          <t>An unfamiliar sensor or electrical dataset with a client brief. Suggested: MetroPT-3 (UCI 791, real compressor sensor data with maintenance reports) or Steel Plates Faults (UCI 198). The client brief should state a false-alarm tolerance, which forces a precision-recall argument rather than an accuracy contest.</t>
        </is>
      </c>
      <c r="O16" s="49" t="inlineStr">
        <is>
          <t>Choose a Model and Defend It, plus the adversarial Defence Round. This is the week that most directly rehearses professional engineering practice, and the least guided session before the test.</t>
        </is>
      </c>
      <c r="P16" s="49" t="inlineStr">
        <is>
          <t>A11 / W12: submit the issued cohort notebook with selection/error checks and written reasoning about the supplied constraints. The in-class recommendation and live defence are practice. This is the last weekly challenge.</t>
        </is>
      </c>
      <c r="Q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49" t="inlineStr">
        <is>
          <t>PROJECT MILESTONE 3 briefed this week and due at the start of Week 13 (graded milestone): a model comparison table for the team's own project, with a justified selection.</t>
        </is>
      </c>
      <c r="S16" s="49" t="inlineStr">
        <is>
          <t>A11 contributes to Practical Challenges (10%) and is graded in-session. PM3 is a graded milestone within the project (25%). This session is the closest rehearsal for Practical Test 2.</t>
        </is>
      </c>
      <c r="T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49" t="inlineStr">
        <is>
          <t>• Computers; challenge dataset offline; printed client briefs.
• Printed question-bank cards and recommendation template.
• Room layout allowing team-to-team defence (movable seating strongly preferred).
• Timer and a visible protocol poster.</t>
        </is>
      </c>
      <c r="V16" s="49" t="inlineStr">
        <is>
          <t>DIVERGENT: challenge dataset and client brief. SHARED: protocol, defence round, criteria.</t>
        </is>
      </c>
    </row>
    <row r="17" ht="219.75" customHeight="1" s="36">
      <c r="A17" s="46" t="n">
        <v>13</v>
      </c>
      <c r="B17" s="47" t="inlineStr">
        <is>
          <t>Block 5 - Engineering Project</t>
        </is>
      </c>
      <c r="C17" s="47" t="inlineStr">
        <is>
          <t>Mon 30 Nov 2026</t>
        </is>
      </c>
      <c r="D17" s="47" t="inlineStr">
        <is>
          <t>Fri 04 Dec 2026
11:00-14:00 · Room 115</t>
        </is>
      </c>
      <c r="E17" s="47" t="inlineStr">
        <is>
          <t>Cohort C</t>
        </is>
      </c>
      <c r="F17" s="47" t="inlineStr">
        <is>
          <t>CML3111</t>
        </is>
      </c>
      <c r="G17" s="47" t="inlineStr">
        <is>
          <t>Introduction to Machine Learning in Engineering</t>
        </is>
      </c>
      <c r="H17" s="47" t="inlineStr">
        <is>
          <t>Project studio: reproducibility, communication and peer review</t>
        </is>
      </c>
      <c r="I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K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47" t="inlineStr">
        <is>
          <t>Studio build plus the peer review round. Deliverable: a repository that passes restart-and-run-all, a complete README, requirements.txt, a contribution log, and a received peer review with a written response to it.</t>
        </is>
      </c>
      <c r="N17" s="47" t="inlineStr">
        <is>
          <t>The team's own project dataset.</t>
        </is>
      </c>
      <c r="O17" s="47" t="inlineStr">
        <is>
          <t>The peer review itself. Teams discover that reviewing is harder than building, and they find their own defects in someone else's repository.</t>
        </is>
      </c>
      <c r="P17" s="47" t="inlineStr">
        <is>
          <t>No new assignment - project work only, deliberately, so the week before the test carries no extra load.</t>
        </is>
      </c>
      <c r="Q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47" t="inlineStr">
        <is>
          <t>PROJECT MILESTONE 4: repository freeze candidate, restart-and-run-all passing, peer review received and responded to.</t>
        </is>
      </c>
      <c r="S17" s="47" t="inlineStr">
        <is>
          <t>PM4 feeds the Reproducibility and documentation (5%) and Communication (10%) criteria of the project rubric, and the whole session prepares the Week 15 demo. Practical Test 2 is briefed here.</t>
        </is>
      </c>
      <c r="T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47" t="inlineStr">
        <is>
          <t>• Computers; movable seating; printed clinic booking sheet and repository checklist.
• Printed peer review forms.
• Two assistants or floor helpers if the cohort exceeds 60 students.
• Practical Test 2 information sheet.</t>
        </is>
      </c>
      <c r="V17" s="47" t="inlineStr">
        <is>
          <t>FULLY SHARED. Prepare once.</t>
        </is>
      </c>
    </row>
    <row r="18" ht="219.75" customHeight="1" s="36">
      <c r="A18" s="53" t="n">
        <v>14</v>
      </c>
      <c r="B18" s="54" t="inlineStr">
        <is>
          <t>ASSESSMENT WEEK 2</t>
        </is>
      </c>
      <c r="C18" s="54" t="inlineStr">
        <is>
          <t>Mon 07 Dec 2026</t>
        </is>
      </c>
      <c r="D18" s="54" t="inlineStr">
        <is>
          <t>Fri 11 Dec 2026
11:00-14:00 · Room 115</t>
        </is>
      </c>
      <c r="E18" s="54" t="inlineStr">
        <is>
          <t>Cohort C</t>
        </is>
      </c>
      <c r="F18" s="54" t="inlineStr">
        <is>
          <t>CML3111</t>
        </is>
      </c>
      <c r="G18" s="54" t="inlineStr">
        <is>
          <t>Introduction to Machine Learning in Engineering</t>
        </is>
      </c>
      <c r="H18" s="54" t="inlineStr">
        <is>
          <t>PRACTICAL TEST 2 - End-to-End Engineering Machine Learning (individual, timed Colab practical)</t>
        </is>
      </c>
      <c r="I18" s="54" t="inlineStr">
        <is>
          <t>• Split data by whole equipment groups and fit models on training rows only.
• Compare a baseline, a straight line, a tree, a ridge curve and nearest neighbours on the same validation rows.
• Count classification outcomes and work out a cost, and run cross-validation by group.
• Test whether an extra input helps, and choose a model inside stated limits.
• Explain the choices: sealed test rows, training-only fill values, scaling and the ridge penalty.</t>
        </is>
      </c>
      <c r="J18" s="54" t="inlineStr">
        <is>
          <t>• 0:00-0:15  Entry page, notebook and CSV downloaded, rules read aloud, identity cell checked.
• 0:15-2:15  CODING (120 minutes). Individual, in Colab. Eight functions covering Weeks 8 to 13, from group_split to ridge_and_knn. The notebook states the columns, return formats and marks.
• 2:15-2:40  INTERPRETATION AND CHECKING (25 minutes). Six scenario choices recorded in DECISIONS, then Restart and Run all.
• 2:40-3:00  FINAL SAVE AND SUBMISSION (20 minutes). Submit test button, generated form link, confirmation. Week 15 demo running order confirmed.</t>
        </is>
      </c>
      <c r="K18" s="54" t="inlineStr">
        <is>
          <t>• No new concepts. Weeks 8-13 are examined: supervised learning, validation, leakage, features, model comparison and engineering interpretation.</t>
        </is>
      </c>
      <c r="L18" s="54" t="inlineStr">
        <is>
          <t>• Permitted: Colab, the submission form and any other resource the invigilator announces.
• Prohibited: AI assistants, messaging and copied answers.
• The notebook explains the columns and return formats, so the test examines judgement rather than memory of parameter names.</t>
        </is>
      </c>
      <c r="M18" s="54" t="inlineStr">
        <is>
          <t>The test is a coding practical in Colab, three hours from the start including setup, checking and submission. Three parallel dataset variants are issued by the entry page, and the deterministic grader re-runs the submitted code on other data.</t>
        </is>
      </c>
      <c r="N18" s="54" t="inlineStr">
        <is>
          <t>UNSEEN test datasets, three matched variants from the sensor, electrical or machine domain, each supporting at least two model families.</t>
        </is>
      </c>
      <c r="O18" s="54" t="inlineStr">
        <is>
          <t>The whole assessment. An unfamiliar dataset, no prescribed method, and a rubric that awards more marks for reasoning and interpretation than for the score achieved.</t>
        </is>
      </c>
      <c r="P18" s="54" t="inlineStr">
        <is>
          <t>None. Final project preparation only.</t>
        </is>
      </c>
      <c r="Q18" s="54" t="inlineStr">
        <is>
          <t>—</t>
        </is>
      </c>
      <c r="R18" s="54" t="inlineStr">
        <is>
          <t>Engineering ML Project: final build week outside class. Repository and two-page brief due at the Week 15 session.</t>
        </is>
      </c>
      <c r="S18" s="54" t="inlineStr">
        <is>
          <t>PRACTICAL TEST 2 = 20% of the Semester 1 mark. Individual. Rubric: group split 10, baseline, linear and tree predictions 15, MAE and RMSE 5, classification and cost 10, group cross-validation 10, feature ablation 10, model selection 10, ridge and nearest neighbours 15, six interpretation choices 15.</t>
        </is>
      </c>
      <c r="T18" s="54" t="inlineStr">
        <is>
          <t>• Author three parallel dataset variants of matched difficulty, each with a reference solution. The grader re-runs submitted code on unseen data.
• Test the entry page, notebook download, Submit test button and form link with one account for each variant.
• Confirm sittings, invigilators and Colab capacity with the Faculty. Cohort A is about 100 students.
• Agree the moderation sample with the Faculty.
• Prepare the Week 15 demo running order, two typed defence prompts and the digital submission check.</t>
        </is>
      </c>
      <c r="U18" s="54" t="inlineStr">
        <is>
          <t>• A room with stable wifi and a Colab-capable laptop for every student; confirmed seat count; power contingency.
• Entry links or QR codes for each variant.
• Second invigilator for any sitting above 40 students.
• Rubric published in Week 11.</t>
        </is>
      </c>
      <c r="V18" s="54" t="inlineStr">
        <is>
          <t>DIVERGENT: the three dataset variants and their mark schemes. SHARED: format, rules, duration, rubric.</t>
        </is>
      </c>
    </row>
    <row r="19" ht="219.75" customHeight="1" s="36">
      <c r="A19" s="51" t="n">
        <v>15</v>
      </c>
      <c r="B19" s="52" t="inlineStr">
        <is>
          <t>Block 5 - Engineering Project</t>
        </is>
      </c>
      <c r="C19" s="52" t="inlineStr">
        <is>
          <t>Mon 14 Dec 2026</t>
        </is>
      </c>
      <c r="D19" s="52" t="inlineStr">
        <is>
          <t>Fri 18 Dec 2026
11:00-14:00 · Room 115</t>
        </is>
      </c>
      <c r="E19" s="52" t="inlineStr">
        <is>
          <t>Cohort C</t>
        </is>
      </c>
      <c r="F19" s="52" t="inlineStr">
        <is>
          <t>CML3111</t>
        </is>
      </c>
      <c r="G19" s="52" t="inlineStr">
        <is>
          <t>Introduction to Machine Learning in Engineering</t>
        </is>
      </c>
      <c r="H19" s="52" t="inlineStr">
        <is>
          <t>Engineering ML Demo Day, individual viva and reflection</t>
        </is>
      </c>
      <c r="I19" s="52"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52"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K19" s="52"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52"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M19" s="52"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N19" s="52" t="inlineStr">
        <is>
          <t>Team-selected. Example project titles for this cohort: Motor Anomaly Detector; Machine Failure Risk Model; Power Output Forecaster; Electrical Fault Classifier; Surface Defect Classifier; Sensor Health Monitor; Robot State Classifier.</t>
        </is>
      </c>
      <c r="O19" s="52" t="inlineStr">
        <is>
          <t>Two individual typed answers about their own repository, submitted with the reflection. Live questions are formative.</t>
        </is>
      </c>
      <c r="P19" s="52" t="inlineStr">
        <is>
          <t>None. Semester 2 pre-reading and an optional holiday challenge are issued for students who want to keep going.</t>
        </is>
      </c>
      <c r="Q19" s="52" t="inlineStr">
        <is>
          <t>—</t>
        </is>
      </c>
      <c r="R19" s="52" t="inlineStr">
        <is>
          <t>ENGINEERING ML PROJECT FINAL SUBMISSION (25%). Demo, viva and reflection (10%).</t>
        </is>
      </c>
      <c r="S19" s="52"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T19" s="52"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52"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c r="V19" s="52" t="inlineStr">
        <is>
          <t>DIVERGENT: project titles and invited assessors (invite an electrical, control or automation engineer). SHARED: demo format, viva bank structure, rubric.</t>
        </is>
      </c>
    </row>
  </sheetData>
  <autoFilter ref="A4:V19"/>
  <mergeCells count="2">
    <mergeCell ref="A1:T1"/>
    <mergeCell ref="A2:T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7030A0"/>
    <outlinePr summaryBelow="1" summaryRight="1"/>
    <pageSetUpPr fitToPage="0"/>
  </sheetPr>
  <dimension ref="A1:F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34" customWidth="1" style="35" min="2" max="2"/>
    <col width="62" customWidth="1" style="35" min="3" max="4"/>
    <col width="20" customWidth="1" style="35" min="5" max="5"/>
    <col width="74" customWidth="1" style="35" min="6" max="6"/>
  </cols>
  <sheetData>
    <row r="1" ht="25.5" customHeight="1" s="36">
      <c r="A1" s="37" t="inlineStr">
        <is>
          <t>Shared core versus cohort-specific overlay</t>
        </is>
      </c>
    </row>
    <row r="2" ht="18" customHeight="1" s="36">
      <c r="A2" s="38" t="inlineStr">
        <is>
          <t>Where one preparation serves three cohorts, and where three separate preparations are genuinely needed.</t>
        </is>
      </c>
    </row>
    <row r="3"/>
    <row r="4" ht="31.5" customHeight="1" s="36">
      <c r="A4" s="42" t="inlineStr">
        <is>
          <t>Week</t>
        </is>
      </c>
      <c r="B4" s="42" t="inlineStr">
        <is>
          <t>Topic</t>
        </is>
      </c>
      <c r="C4" s="42" t="inlineStr">
        <is>
          <t>Shared across all three cohorts (prepare once)</t>
        </is>
      </c>
      <c r="D4" s="42" t="inlineStr">
        <is>
          <t>Must be re-skinned per cohort (prepare three times)</t>
        </is>
      </c>
      <c r="E4" s="42" t="inlineStr">
        <is>
          <t>Approx. re-skin effort</t>
        </is>
      </c>
      <c r="F4" s="42" t="inlineStr">
        <is>
          <t>Cohort A / B / C divergence</t>
        </is>
      </c>
    </row>
    <row r="5" ht="96" customHeight="1" s="36">
      <c r="A5" s="46" t="n">
        <v>1</v>
      </c>
      <c r="B5" s="47" t="inlineStr">
        <is>
          <t>The engineering problem that needs data</t>
        </is>
      </c>
      <c r="C5" s="47" t="inlineStr">
        <is>
          <t>Course contract, the rules-vs-learning argument, the Problem Hunt design, the gallery walk, team formation, A1 brief.</t>
        </is>
      </c>
      <c r="D5" s="47" t="inlineStr">
        <is>
          <t>The 12-row printed dataset extract, the two framing questions, the Problem Hunt prompt cards.</t>
        </is>
      </c>
      <c r="E5" s="47" t="inlineStr">
        <is>
          <t>Low — 1 hour each</t>
        </is>
      </c>
      <c r="F5" s="47" t="inlineStr">
        <is>
          <t>[A] DIVERGENT: anchor dataset, framing questions, Problem Hunt prompts. SHARED: everything else.
[B] DIVERGENT: anchor dataset, framing questions, Problem Hunt prompts. SHARED: everything else.
[C] DIVERGENT: anchor dataset, framing questions, Problem Hunt prompts. SHARED: everything else.</t>
        </is>
      </c>
    </row>
    <row r="6" ht="96" customHeight="1" s="36">
      <c r="A6" s="48" t="n">
        <v>2</v>
      </c>
      <c r="B6" s="49" t="inlineStr">
        <is>
          <t>Colab notebooks and version control</t>
        </is>
      </c>
      <c r="C6" s="49" t="inlineStr">
        <is>
          <t>Everything. The tool map, the install clinic, terminal, notebook, Git, Kaggle, Break and Fix.</t>
        </is>
      </c>
      <c r="D6" s="49" t="inlineStr">
        <is>
          <t>Nothing beyond the one-line README prompt naming their programme.</t>
        </is>
      </c>
      <c r="E6" s="49" t="inlineStr">
        <is>
          <t>None</t>
        </is>
      </c>
      <c r="F6" s="49" t="inlineStr">
        <is>
          <t>[A] Largely shared.
[B] Largely shared.
[C] Largely shared.</t>
        </is>
      </c>
    </row>
    <row r="7" ht="96" customHeight="1" s="36">
      <c r="A7" s="46" t="n">
        <v>3</v>
      </c>
      <c r="B7" s="47" t="inlineStr">
        <is>
          <t>Python as an engineering calculator</t>
        </is>
      </c>
      <c r="C7" s="47" t="inlineStr">
        <is>
          <t>All Python concepts, the function-library task design, the Wrong Answer Hunt format, the debugger demo.</t>
        </is>
      </c>
      <c r="D7" s="47" t="inlineStr">
        <is>
          <t>The six engineering formulas and the unit traps planted in the Wrong Answer Hunt.</t>
        </is>
      </c>
      <c r="E7" s="47" t="inlineStr">
        <is>
          <t>Medium — 2–3 hours each</t>
        </is>
      </c>
      <c r="F7" s="47" t="inlineStr">
        <is>
          <t>[A] DIVERGENT: the six formulas and the Wrong Answer Hunt unit traps (kN vs N, mm vs m, W/m2K). SHARED: all concepts, structure, challenge design.
[B] DIVERGENT: the six formulas and the Wrong Answer Hunt traps (grams per tonne vs percent, barrels vs cubic metres, wet vs dry tonnes). SHARED: all concepts and structure.
[C] DIVERGENT: the six formulas and the Wrong Answer Hunt traps (degrees vs radians, RPM vs rad/s, power vs apparent power, dB vs linear). SHARED: all concepts and structure.</t>
        </is>
      </c>
    </row>
    <row r="8" ht="96" customHeight="1" s="36">
      <c r="A8" s="48" t="n">
        <v>4</v>
      </c>
      <c r="B8" s="49" t="inlineStr">
        <is>
          <t>Python for problem solving: collections, loops and files</t>
        </is>
      </c>
      <c r="C8" s="49" t="inlineStr">
        <is>
          <t>All collections, loops, file I/O and exception content. The Reading Report task. The Investigation Lab format and question bank.</t>
        </is>
      </c>
      <c r="D8" s="49" t="inlineStr">
        <is>
          <t>The ~300-row Investigation Lab file, its planted finding and its red herrings.</t>
        </is>
      </c>
      <c r="E8" s="49" t="inlineStr">
        <is>
          <t>High — 3–4 hours each</t>
        </is>
      </c>
      <c r="F8" s="49" t="inlineStr">
        <is>
          <t>[A] DIVERGENT: the Investigation Lab file and its planted story. SHARED: all Python content.
[B] DIVERGENT: the Investigation Lab file and its planted story. SHARED: all Python content.
[C] DIVERGENT: the Investigation Lab file and its planted story. SHARED: all Python content.</t>
        </is>
      </c>
    </row>
    <row r="9" ht="96" customHeight="1" s="36">
      <c r="A9" s="46" t="n">
        <v>5</v>
      </c>
      <c r="B9" s="47" t="inlineStr">
        <is>
          <t>NumPy and pandas: the engineer's data table, and where data comes from</t>
        </is>
      </c>
      <c r="C9" s="47" t="inlineStr">
        <is>
          <t>All NumPy and pandas content. The loops-vs-pandas comparison. The Kaggle and UCI sourcing segment. The Ten Questions format.</t>
        </is>
      </c>
      <c r="D9" s="47" t="inlineStr">
        <is>
          <t>The anchor dataset, the twelve interrogation questions, and the dataset subsetting work (heavy for Cohort B).</t>
        </is>
      </c>
      <c r="E9" s="47" t="inlineStr">
        <is>
          <t>High — 4 hours each</t>
        </is>
      </c>
      <c r="F9" s="47" t="inlineStr">
        <is>
          <t>[A] DIVERGENT: anchor dataset and the twelve questions. SHARED: all pandas and NumPy content, the Kaggle/UCI sourcing segment, the challenge format.
[B] DIVERGENT: anchor dataset and the twelve questions. SHARED: all pandas and NumPy content and the sourcing segment.
[C] DIVERGENT: anchor dataset and the twelve questions. SHARED: all pandas and NumPy content and the sourcing segment.</t>
        </is>
      </c>
    </row>
    <row r="10" ht="96" customHeight="1" s="36">
      <c r="A10" s="48" t="n">
        <v>6</v>
      </c>
      <c r="B10" s="49" t="inlineStr">
        <is>
          <t>Dirty data, and seeing it: data quality through visualisation</t>
        </is>
      </c>
      <c r="C10" s="49" t="inlineStr">
        <is>
          <t>All cleaning and visualisation content. The Data Clinic design. The Outlier Argument format. Chart grammar.</t>
        </is>
      </c>
      <c r="D10" s="49" t="inlineStr">
        <is>
          <t>The damaged dataset with its six planted defects, and the five outlier cases.</t>
        </is>
      </c>
      <c r="E10" s="49" t="inlineStr">
        <is>
          <t>High — 4 hours each</t>
        </is>
      </c>
      <c r="F10" s="49" t="inlineStr">
        <is>
          <t>[A] DIVERGENT: the damaged dataset and the five outlier cases. SHARED: all cleaning and visualisation content.
[B] DIVERGENT: the damaged dataset and the five outlier cases. SHARED: all cleaning and visualisation content.
[C] DIVERGENT: the damaged dataset and the five outlier cases. The 'stuck-at-zero sensor' case is emphasised for this cohort because it is the defect they will meet most often in practice. SHARED: all cleaning and visualisation content.</t>
        </is>
      </c>
    </row>
    <row r="11" ht="96" customHeight="1" s="36">
      <c r="A11" s="53" t="n">
        <v>7</v>
      </c>
      <c r="B11" s="54" t="inlineStr">
        <is>
          <t>PRACTICAL TEST 1 - Data Investigation (individual, timed Colab practical)</t>
        </is>
      </c>
      <c r="C11" s="54" t="inlineStr">
        <is>
          <t>Format, duration, rules, issued notebook bundle, rubric, moderation plan.</t>
        </is>
      </c>
      <c r="D11" s="54" t="inlineStr">
        <is>
          <t>Three matched unseen dataset variants per cohort, with model answers and mark schemes. Nine variants in total.</t>
        </is>
      </c>
      <c r="E11" s="54" t="inlineStr">
        <is>
          <t>Very high — 6–8 hours each</t>
        </is>
      </c>
      <c r="F11" s="54" t="inlineStr">
        <is>
          <t>[A] DIVERGENT: the three dataset variants and their mark schemes. SHARED: format, rules, duration, rubric, issued notebook bundle.
[B] DIVERGENT: the three dataset variants and their mark schemes. SHARED: format, rules, duration, rubric, issued notebook bundle.
[C] DIVERGENT: the three dataset variants and their mark schemes. SHARED: format, rules, duration, rubric, issued notebook bundle.</t>
        </is>
      </c>
    </row>
    <row r="12" ht="96" customHeight="1" s="36">
      <c r="A12" s="48" t="n">
        <v>8</v>
      </c>
      <c r="B12" s="49" t="inlineStr">
        <is>
          <t>Learning from data: the first model</t>
        </is>
      </c>
      <c r="C12" s="49" t="inlineStr">
        <is>
          <t>All regression, metric and baseline content. The fifteen-line demonstration structure. The leaderboard.</t>
        </is>
      </c>
      <c r="D12" s="49" t="inlineStr">
        <is>
          <t>The dataset, the target, the physical error unit, and the 'is it good enough' question.</t>
        </is>
      </c>
      <c r="E12" s="49" t="inlineStr">
        <is>
          <t>Low — 1–2 hours each</t>
        </is>
      </c>
      <c r="F12" s="49" t="inlineStr">
        <is>
          <t>[A] DIVERGENT: dataset, target, physical error units, and the 'is it good enough' question. SHARED: all regression and metric content.
[B] DIVERGENT: dataset, target and the operating decision question. SHARED: all regression and metric content.
[C] DIVERGENT: dataset, target, physical error unit, and the availability of a published benchmark. SHARED: all regression and metric content.</t>
        </is>
      </c>
    </row>
    <row r="13" ht="96" customHeight="1" s="36">
      <c r="A13" s="46" t="n">
        <v>9</v>
      </c>
      <c r="B13" s="47" t="inlineStr">
        <is>
          <t>Classification: predicting which category a case belongs to</t>
        </is>
      </c>
      <c r="C13" s="47" t="inlineStr">
        <is>
          <t>All classification content. The cost-asymmetry framing. The 97% Trap design. The drawn decision tree.</t>
        </is>
      </c>
      <c r="D13" s="47" t="inlineStr">
        <is>
          <t>The dataset, the class definitions or banding decision, and the four cost categories.</t>
        </is>
      </c>
      <c r="E13" s="47" t="inlineStr">
        <is>
          <t>Medium — 2–3 hours each</t>
        </is>
      </c>
      <c r="F13" s="47" t="inlineStr">
        <is>
          <t>[A] DIVERGENT: dataset, class definitions and cost categories. SHARED: all classification content and the 97% Trap design.
[B] DIVERGENT: dataset, class definitions and cost categories. SHARED: all classification content and the 97% Trap design.
[C] DIVERGENT: dataset, class definitions and cost categories. SHARED: all classification content and the 97% Trap design.</t>
        </is>
      </c>
    </row>
    <row r="14" ht="96" customHeight="1" s="36">
      <c r="A14" s="48" t="n">
        <v>10</v>
      </c>
      <c r="B14" s="49" t="inlineStr">
        <is>
          <t>Can I trust this model?</t>
        </is>
      </c>
      <c r="C14" s="49" t="inlineStr">
        <is>
          <t>All validation, cross-validation and leakage content. The depth sweep. The Too Good To Be True format. PM1 review.</t>
        </is>
      </c>
      <c r="D14" s="49" t="inlineStr">
        <is>
          <t>The three planted leakage causes, dressed in the cohort's own terms.</t>
        </is>
      </c>
      <c r="E14" s="49" t="inlineStr">
        <is>
          <t>Medium — 2–3 hours each</t>
        </is>
      </c>
      <c r="F14" s="49" t="inlineStr">
        <is>
          <t>[A] DIVERGENT: the planted leakage causes are dressed in construction terms. SHARED: all validation content.
[B] DIVERGENT: the planted leakage causes are dressed in mining and petroleum terms, and the temporal leakage case is emphasised because process data is a time series. SHARED: all validation content.
[C] DIVERGENT: the planted leakage causes are dressed in sensor and maintenance terms, and temporal leakage is emphasised because sensor data is a time series. SHARED: all validation content.</t>
        </is>
      </c>
    </row>
    <row r="15" ht="96" customHeight="1" s="36">
      <c r="A15" s="46" t="n">
        <v>11</v>
      </c>
      <c r="B15" s="47" t="inlineStr">
        <is>
          <t>Features: where engineering knowledge enters the model</t>
        </is>
      </c>
      <c r="C15" s="47" t="inlineStr">
        <is>
          <t>All encoding, scaling, ColumnTransformer, Pipeline, selection and ablation content. The Domain Advantage design.</t>
        </is>
      </c>
      <c r="D15" s="47" t="inlineStr">
        <is>
          <t>The feature set, the one demonstration feature that must beat the raw columns, and the standards reference sheet.</t>
        </is>
      </c>
      <c r="E15" s="47" t="inlineStr">
        <is>
          <t>Medium — 3 hours each</t>
        </is>
      </c>
      <c r="F15" s="47" t="inlineStr">
        <is>
          <t>[A] DIVERGENT: the feature set and the standards reference sheet (relevant concrete and building-envelope codes). SHARED: all encoding, scaling, pipeline and ablation content.
[B] DIVERGENT: the feature set and the reference sheet of standard mining and petroleum relations. SHARED: all encoding, scaling, pipeline and ablation content.
[C] DIVERGENT: the feature set and the reference sheet of standard electrical and mechanical relations. This cohort has the strongest physics-to-feature story of the three, so the week is at its most persuasive here. SHARED: all encoding, scaling, pipeline and ablation content.</t>
        </is>
      </c>
    </row>
    <row r="16" ht="96" customHeight="1" s="36">
      <c r="A16" s="48" t="n">
        <v>12</v>
      </c>
      <c r="B16" s="49" t="inlineStr">
        <is>
          <t>Model comparison and engineering judgement (low-guidance week)</t>
        </is>
      </c>
      <c r="C16" s="49" t="inlineStr">
        <is>
          <t>The comparison protocol, the five selection criteria, the GridSearchCV demonstration, the defence round, the question bank.</t>
        </is>
      </c>
      <c r="D16" s="49" t="inlineStr">
        <is>
          <t>The challenge dataset and the fictional client brief with its real constraint.</t>
        </is>
      </c>
      <c r="E16" s="49" t="inlineStr">
        <is>
          <t>Medium — 2–3 hours each</t>
        </is>
      </c>
      <c r="F16" s="49" t="inlineStr">
        <is>
          <t>[A] DIVERGENT: challenge dataset and client brief. SHARED: protocol, defence round, criteria.
[B] DIVERGENT: challenge dataset and client brief. SHARED: protocol, defence round, criteria.
[C] DIVERGENT: challenge dataset and client brief. SHARED: protocol, defence round, criteria.</t>
        </is>
      </c>
    </row>
    <row r="17" ht="96" customHeight="1" s="36">
      <c r="A17" s="46" t="n">
        <v>13</v>
      </c>
      <c r="B17" s="47" t="inlineStr">
        <is>
          <t>Project studio: reproducibility, communication and peer review</t>
        </is>
      </c>
      <c r="C17" s="47" t="inlineStr">
        <is>
          <t>EVERYTHING. Repository structure, README standards, requirements.txt, restart-and-run-all, peer review, the clinic rotation.</t>
        </is>
      </c>
      <c r="D17" s="47" t="inlineStr">
        <is>
          <t>Nothing. This week is genuinely identical across all three cohorts.</t>
        </is>
      </c>
      <c r="E17" s="47" t="inlineStr">
        <is>
          <t>None</t>
        </is>
      </c>
      <c r="F17" s="47" t="inlineStr">
        <is>
          <t>[A] FULLY SHARED. Reproducibility, README standards and peer review are identical across all three cohorts. Prepare once.
[B] FULLY SHARED. Prepare once.
[C] FULLY SHARED. Prepare once.</t>
        </is>
      </c>
    </row>
    <row r="18" ht="96" customHeight="1" s="36">
      <c r="A18" s="53" t="n">
        <v>14</v>
      </c>
      <c r="B18" s="54" t="inlineStr">
        <is>
          <t>PRACTICAL TEST 2 - End-to-End Engineering Machine Learning (individual, timed Colab practical)</t>
        </is>
      </c>
      <c r="C18" s="54" t="inlineStr">
        <is>
          <t>Format, duration, rules, issued notebook bundle, rubric, moderation.</t>
        </is>
      </c>
      <c r="D18" s="54" t="inlineStr">
        <is>
          <t>Three matched unseen dataset variants per cohort. Nine variants in total.</t>
        </is>
      </c>
      <c r="E18" s="54" t="inlineStr">
        <is>
          <t>Very high — 6–8 hours each</t>
        </is>
      </c>
      <c r="F18" s="54" t="inlineStr">
        <is>
          <t>[A] DIVERGENT: the three dataset variants and their mark schemes. SHARED: format, rules, duration, rubric.
[B] DIVERGENT: the three dataset variants and their mark schemes. SHARED: format, rules, duration, rubric.
[C] DIVERGENT: the three dataset variants and their mark schemes. SHARED: format, rules, duration, rubric.</t>
        </is>
      </c>
    </row>
    <row r="19" ht="96" customHeight="1" s="36">
      <c r="A19" s="46" t="n">
        <v>15</v>
      </c>
      <c r="B19" s="47" t="inlineStr">
        <is>
          <t>Engineering ML Demo Day, individual viva and reflection</t>
        </is>
      </c>
      <c r="C19" s="47" t="inlineStr">
        <is>
          <t>Demo fair format, viva bank structure, peer assessment form, recognition categories, reflection prompt, the Week 1 promise comparison.</t>
        </is>
      </c>
      <c r="D19" s="47" t="inlineStr">
        <is>
          <t>The project titles that emerge, and which external assessor to invite.</t>
        </is>
      </c>
      <c r="E19" s="47" t="inlineStr">
        <is>
          <t>Low — under 1 hour each</t>
        </is>
      </c>
      <c r="F19" s="47" t="inlineStr">
        <is>
          <t>[A] DIVERGENT: project titles and invited assessors (invite a structural or building services engineer). SHARED: demo format, viva bank structure, rubric.
[B] DIVERGENT: project titles and invited assessors (invite a mining or petroleum engineer). SHARED: demo format, viva bank structure, rubric.
[C] DIVERGENT: project titles and invited assessors (invite an electrical, control or automation engineer). SHARED: demo format, viva bank structure, rubric.</t>
        </is>
      </c>
    </row>
    <row r="20"/>
    <row r="21" ht="45.75" customHeight="1" s="36">
      <c r="A21" s="56" t="inlineStr">
        <is>
          <t>Reading of this sheet: the two assessment weeks and Weeks 4–7 carry almost all of the triplicated preparation, because that is where the datasets must be authored. Weeks 2 and 13 require no divergent preparation at all. Eighteen unseen test dataset variants are needed in total — nine for each test, being three matched variants per cohort. Build the nine for Test 1 during Weeks 2–5, and the nine for Test 2 during Weeks 8–12. Do not leave either set to the fortnight before the test, when there will be no capacity.</t>
        </is>
      </c>
    </row>
  </sheetData>
  <mergeCells count="3">
    <mergeCell ref="A2:F2"/>
    <mergeCell ref="A21:F2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C55A11"/>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2" customWidth="1" style="35" min="1" max="1"/>
    <col width="30" customWidth="1" style="35" min="2" max="2"/>
    <col width="34" customWidth="1" style="35" min="3" max="3"/>
    <col width="10" customWidth="1" style="35" min="4" max="4"/>
    <col width="54" customWidth="1" style="35" min="5" max="5"/>
    <col width="44" customWidth="1" style="35" min="6" max="6"/>
  </cols>
  <sheetData>
    <row r="1" ht="25.5" customHeight="1" s="36">
      <c r="A1" s="37" t="inlineStr">
        <is>
          <t>Semester 1 assessment design</t>
        </is>
      </c>
    </row>
    <row r="2" ht="18" customHeight="1" s="36">
      <c r="A2" s="38" t="inlineStr">
        <is>
          <t>Entirely practical, continuous and project-based. No traditional written examination. 65% of the mark is individual; automatic grading coverage is validated assessment by assessment.</t>
        </is>
      </c>
    </row>
    <row r="3"/>
    <row r="4" ht="19.5" customHeight="1" s="36">
      <c r="A4" s="57" t="inlineStr">
        <is>
          <t>MODEL 1 — RECOMMENDED</t>
        </is>
      </c>
    </row>
    <row r="5" ht="31.5" customHeight="1" s="36">
      <c r="A5" s="42" t="inlineStr">
        <is>
          <t>Component</t>
        </is>
      </c>
      <c r="B5" s="42" t="inlineStr">
        <is>
          <t>When</t>
        </is>
      </c>
      <c r="C5" s="42" t="inlineStr">
        <is>
          <t>Individual / team</t>
        </is>
      </c>
      <c r="D5" s="42" t="inlineStr">
        <is>
          <t>Weight</t>
        </is>
      </c>
      <c r="E5" s="42" t="inlineStr">
        <is>
          <t>Deliverable</t>
        </is>
      </c>
      <c r="F5" s="42" t="inlineStr">
        <is>
          <t>Marked against</t>
        </is>
      </c>
    </row>
    <row r="6" ht="42" customHeight="1" s="36">
      <c r="A6" s="46" t="inlineStr">
        <is>
          <t>WEEKLY QUIZZES (12 graded, best 10 of 12)</t>
        </is>
      </c>
      <c r="B6" s="47" t="inlineStr">
        <is>
          <t>End of every teaching session: W1-W6 and W8-W13</t>
        </is>
      </c>
      <c r="C6" s="47" t="inlineStr">
        <is>
          <t>Individual, auto-graded</t>
        </is>
      </c>
      <c r="D6" s="58" t="n">
        <v>0.1</v>
      </c>
      <c r="E6" s="47" t="inlineStr">
        <is>
          <t>Five-minute QR-code quiz in the last five minutes of the session. 5 diagnostic questions, 1% each. Instant score and teaching feedback. No resits - the two dropped scores cover absence. A network failure is covered by the published 24-hour response window.</t>
        </is>
      </c>
      <c r="F6" s="47" t="inlineStr">
        <is>
          <t>Auto-marked. Machine-scored, so the marking cost is zero once the question banks exist.</t>
        </is>
      </c>
    </row>
    <row r="7" ht="42" customHeight="1" s="36">
      <c r="A7" s="46" t="inlineStr">
        <is>
          <t>Practical challenges &amp; assignments (best 8 of 11)</t>
        </is>
      </c>
      <c r="B7" s="47" t="inlineStr">
        <is>
          <t>Weeks 1-12</t>
        </is>
      </c>
      <c r="C7" s="47" t="inlineStr">
        <is>
          <t>Individual, auto-graded</t>
        </is>
      </c>
      <c r="D7" s="58" t="n">
        <v>0.1</v>
      </c>
      <c r="E7" s="47" t="inlineStr">
        <is>
          <t>Weekly notebooks, scripts and one-pagers pushed to the repository. Students self-check against visible tests before submitting; the lecturer batch-grades against hidden tests.</t>
        </is>
      </c>
      <c r="F7" s="47" t="inlineStr">
        <is>
          <t>batch_grade.py against the issued spec, combined with calibrated local rubric assessment where required; unresolved submissions remain exceptions</t>
        </is>
      </c>
    </row>
    <row r="8" ht="42" customHeight="1" s="36">
      <c r="A8" s="46" t="inlineStr">
        <is>
          <t>Data Analysis Project</t>
        </is>
      </c>
      <c r="B8" s="47" t="inlineStr">
        <is>
          <t>Launched W5, due W8</t>
        </is>
      </c>
      <c r="C8" s="47" t="inlineStr">
        <is>
          <t>Team of 4-5 (individual log required)</t>
        </is>
      </c>
      <c r="D8" s="58" t="n">
        <v>0.1</v>
      </c>
      <c r="E8" s="47" t="inlineStr">
        <is>
          <t>Cleaned dataset, question-driven analysis notebook, 4+ charts, 1-page findings</t>
        </is>
      </c>
      <c r="F8" s="47" t="inlineStr">
        <is>
          <t>Data Analysis Project rubric (see Rubrics sheet). Local assessment requires deterministic evidence checks and calibrated rubric grading.</t>
        </is>
      </c>
    </row>
    <row r="9" ht="42" customHeight="1" s="36">
      <c r="A9" s="46" t="inlineStr">
        <is>
          <t>PRACTICAL TEST 1 - Data Investigation</t>
        </is>
      </c>
      <c r="B9" s="47" t="inlineStr">
        <is>
          <t>Week 7</t>
        </is>
      </c>
      <c r="C9" s="47" t="inlineStr">
        <is>
          <t>Individual, timed Colab, 3h</t>
        </is>
      </c>
      <c r="D9" s="58" t="n">
        <v>0.15</v>
      </c>
      <c r="E9" s="47" t="inlineStr">
        <is>
          <t>Take-home Colab practical, 3 hours from the start. Eight coding tasks checked deterministically on other data with the same columns: reading and inspecting the file, charts before and after cleaning, cleaning, statistics, grouping, a function and a loop with conditions. No written report. AI assistance is not permitted.</t>
        </is>
      </c>
      <c r="F9" s="47" t="inlineStr">
        <is>
          <t>Test 1 rubric (see Rubrics sheet). Eight coded tasks, 100 marks, all checked deterministically on other data.</t>
        </is>
      </c>
    </row>
    <row r="10" ht="42" customHeight="1" s="36">
      <c r="A10" s="46" t="inlineStr">
        <is>
          <t>PRACTICAL TEST 2 - End-to-End Engineering ML</t>
        </is>
      </c>
      <c r="B10" s="47" t="inlineStr">
        <is>
          <t>Week 14</t>
        </is>
      </c>
      <c r="C10" s="47" t="inlineStr">
        <is>
          <t>Individual, timed Colab, 3h</t>
        </is>
      </c>
      <c r="D10" s="58" t="n">
        <v>0.2</v>
      </c>
      <c r="E10" s="47" t="inlineStr">
        <is>
          <t>Colab practical, 180 minutes, covering Weeks 8 to 13. Eight coding tasks (group split 10, baseline, linear and tree predictions 15, MAE and RMSE 5, classification and cost 10, group cross-validation 10, feature ablation 10, model selection 10, ridge and nearest neighbours 15) re-run by the lecturer's grader on unseen data, plus six interpretation choices (15). No separate written report. AI assistance is not permitted.</t>
        </is>
      </c>
      <c r="F10" s="47" t="inlineStr">
        <is>
          <t>Test 2 rubric (see Rubrics sheet). Eight coded functions (85 marks) and six interpretation choices (15 marks), checked deterministically.</t>
        </is>
      </c>
    </row>
    <row r="11" ht="42" customHeight="1" s="36">
      <c r="A11" s="46" t="inlineStr">
        <is>
          <t>Engineering ML Project</t>
        </is>
      </c>
      <c r="B11" s="47" t="inlineStr">
        <is>
          <t>Launched W9, milestones W10/W11/W12/W13, due W15</t>
        </is>
      </c>
      <c r="C11" s="47" t="inlineStr">
        <is>
          <t>Team of 4-5 (individual accountability via viva + log)</t>
        </is>
      </c>
      <c r="D11" s="58" t="n">
        <v>0.25</v>
      </c>
      <c r="E11" s="47" t="inlineStr">
        <is>
          <t>Repository, 2-page engineering brief, poster, AI-use declaration, contribution log</t>
        </is>
      </c>
      <c r="F11" s="47" t="inlineStr">
        <is>
          <t>Project rubric (see Rubrics sheet)</t>
        </is>
      </c>
    </row>
    <row r="12" ht="42" customHeight="1" s="36">
      <c r="A12" s="46" t="inlineStr">
        <is>
          <t>Demo, viva &amp; individual reflection</t>
        </is>
      </c>
      <c r="B12" s="47" t="inlineStr">
        <is>
          <t>Week 15</t>
        </is>
      </c>
      <c r="C12" s="47" t="inlineStr">
        <is>
          <t>Individual</t>
        </is>
      </c>
      <c r="D12" s="58" t="n">
        <v>0.1</v>
      </c>
      <c r="E12" s="47" t="inlineStr">
        <is>
          <t>6-minute demo with narration notes, 2 individual typed defence answers, 500-word reflection</t>
        </is>
      </c>
      <c r="F12" s="47" t="inlineStr">
        <is>
          <t>Demo &amp; viva rubric (see Rubrics sheet)</t>
        </is>
      </c>
    </row>
    <row r="13" ht="18" customHeight="1" s="36">
      <c r="A13" s="59" t="inlineStr">
        <is>
          <t>TOTAL</t>
        </is>
      </c>
      <c r="B13" s="60" t="n"/>
      <c r="C13" s="60" t="n"/>
      <c r="D13" s="61">
        <f>SUM(D6:D12)</f>
        <v/>
      </c>
      <c r="E13" s="60" t="n"/>
      <c r="F13" s="60" t="n"/>
    </row>
    <row r="14" ht="25.5" customHeight="1" s="36">
      <c r="A14" s="43" t="inlineStr">
        <is>
          <t>Of which individual</t>
        </is>
      </c>
      <c r="B14" s="44" t="n"/>
      <c r="C14" s="44" t="n"/>
      <c r="D14" s="62">
        <f>D6+D7+D9+D10+D12</f>
        <v/>
      </c>
      <c r="E14" s="44" t="n"/>
      <c r="F14" s="44" t="inlineStr">
        <is>
          <t>Weekly quizzes, weekly challenges, both practical tests, and the demo/viva/reflection are individually assessed.</t>
        </is>
      </c>
    </row>
    <row r="15" ht="25.5" customHeight="1" s="36">
      <c r="A15" s="51" t="inlineStr">
        <is>
          <t>Of which team</t>
        </is>
      </c>
      <c r="B15" s="52" t="n"/>
      <c r="C15" s="52" t="n"/>
      <c r="D15" s="63">
        <f>D8+D11</f>
        <v/>
      </c>
      <c r="E15" s="52" t="n"/>
      <c r="F15" s="52" t="inlineStr">
        <is>
          <t>Shared project marks and individual typed-defence marks remain separate.</t>
        </is>
      </c>
    </row>
    <row r="16" ht="30" customHeight="1" s="36">
      <c r="A16" s="59" t="inlineStr">
        <is>
          <t>Automatic grading coverage</t>
        </is>
      </c>
      <c r="B16" s="60" t="n"/>
      <c r="C16" s="60" t="n"/>
      <c r="D16" s="64" t="inlineStr">
        <is>
          <t>Pending validation</t>
        </is>
      </c>
      <c r="E16" s="60" t="n"/>
      <c r="F16" s="60" t="inlineStr">
        <is>
          <t>Executed checks and local evidence grading require assessment-specific validation. There is no fixed cap or verified percentage for the whole semester.</t>
        </is>
      </c>
    </row>
    <row r="17"/>
    <row r="18"/>
    <row r="19" ht="19.5" customHeight="1" s="36">
      <c r="A19" s="57" t="inlineStr">
        <is>
          <t>MODEL 2 — ALTERNATIVE, if IUEA mandates a coursework / final assessment split</t>
        </is>
      </c>
    </row>
    <row r="20" ht="31.5" customHeight="1" s="36">
      <c r="A20" s="42" t="inlineStr">
        <is>
          <t>Component</t>
        </is>
      </c>
      <c r="B20" s="42" t="inlineStr">
        <is>
          <t>When</t>
        </is>
      </c>
      <c r="C20" s="42" t="inlineStr">
        <is>
          <t>Individual / team</t>
        </is>
      </c>
      <c r="D20" s="42" t="inlineStr">
        <is>
          <t>Weight</t>
        </is>
      </c>
      <c r="E20" s="42" t="inlineStr">
        <is>
          <t>Note</t>
        </is>
      </c>
      <c r="F20" s="42" t="n"/>
    </row>
    <row r="21" ht="18" customHeight="1" s="36">
      <c r="A21" s="59" t="inlineStr">
        <is>
          <t>CONTINUOUS ASSESSMENT (40%)</t>
        </is>
      </c>
      <c r="B21" s="60" t="n"/>
      <c r="C21" s="60" t="n"/>
      <c r="D21" s="60" t="n"/>
      <c r="E21" s="60" t="n"/>
      <c r="F21" s="60" t="n"/>
    </row>
    <row r="22" ht="19.5" customHeight="1" s="36">
      <c r="A22" s="65" t="inlineStr">
        <is>
          <t>Quizzes (weekly W1-W6, then one sitting per block)</t>
        </is>
      </c>
      <c r="B22" s="47" t="inlineStr">
        <is>
          <t>W1-W6 weekly; end of W10 (Block 1) and W13 (Block 2)</t>
        </is>
      </c>
      <c r="C22" s="47" t="inlineStr">
        <is>
          <t>Individual, auto</t>
        </is>
      </c>
      <c r="D22" s="58" t="n">
        <v>0.1</v>
      </c>
      <c r="E22" s="47" t="inlineStr">
        <is>
          <t>Best 3 of 5 weekly (Week 6 waived) plus both blocks; 45 marks</t>
        </is>
      </c>
      <c r="F22" s="47" t="n"/>
    </row>
    <row r="23" ht="19.5" customHeight="1" s="36">
      <c r="A23" s="65" t="inlineStr">
        <is>
          <t>Practical challenges (weekly W1-W6, then two block packs)</t>
        </is>
      </c>
      <c r="B23" s="47" t="inlineStr">
        <is>
          <t>Weeks 1-6; Block 1 (W8-W10); Block 2 (W11-W12)</t>
        </is>
      </c>
      <c r="C23" s="47" t="inlineStr">
        <is>
          <t>Individual, auto</t>
        </is>
      </c>
      <c r="D23" s="58" t="n">
        <v>0.1</v>
      </c>
      <c r="E23" s="47" t="inlineStr">
        <is>
          <t>Best 3 of 5 weekly (Week 6 waived) plus both blocks; 160 marks</t>
        </is>
      </c>
      <c r="F23" s="47" t="n"/>
    </row>
    <row r="24" ht="19.5" customHeight="1" s="36">
      <c r="A24" s="65" t="inlineStr">
        <is>
          <t>Data Analysis Project</t>
        </is>
      </c>
      <c r="B24" s="47" t="inlineStr">
        <is>
          <t>Week 8</t>
        </is>
      </c>
      <c r="C24" s="47" t="inlineStr">
        <is>
          <t>Team</t>
        </is>
      </c>
      <c r="D24" s="58" t="n">
        <v>0.1</v>
      </c>
      <c r="E24" s="47" t="inlineStr">
        <is>
          <t>As in Model 1</t>
        </is>
      </c>
      <c r="F24" s="47" t="n"/>
    </row>
    <row r="25" ht="19.5" customHeight="1" s="36">
      <c r="A25" s="65" t="inlineStr">
        <is>
          <t>Practical Test 1</t>
        </is>
      </c>
      <c r="B25" s="47" t="inlineStr">
        <is>
          <t>Week 7</t>
        </is>
      </c>
      <c r="C25" s="47" t="inlineStr">
        <is>
          <t>Individual</t>
        </is>
      </c>
      <c r="D25" s="58" t="n">
        <v>0.1</v>
      </c>
      <c r="E25" s="47" t="inlineStr">
        <is>
          <t>Reduced from 15% in this model</t>
        </is>
      </c>
      <c r="F25" s="47" t="n"/>
    </row>
    <row r="26" ht="18" customHeight="1" s="36">
      <c r="A26" s="59" t="inlineStr">
        <is>
          <t>FINAL ASSESSMENT (60%)</t>
        </is>
      </c>
      <c r="B26" s="60" t="n"/>
      <c r="C26" s="60" t="n"/>
      <c r="D26" s="60" t="n"/>
      <c r="E26" s="60" t="n"/>
      <c r="F26" s="60" t="n"/>
    </row>
    <row r="27" ht="19.5" customHeight="1" s="36">
      <c r="A27" s="65" t="inlineStr">
        <is>
          <t>Practical Test 2</t>
        </is>
      </c>
      <c r="B27" s="47" t="inlineStr">
        <is>
          <t>Week 14</t>
        </is>
      </c>
      <c r="C27" s="47" t="inlineStr">
        <is>
          <t>Individual</t>
        </is>
      </c>
      <c r="D27" s="58" t="n">
        <v>0.2</v>
      </c>
      <c r="E27" s="47" t="inlineStr">
        <is>
          <t>As in Model 1</t>
        </is>
      </c>
      <c r="F27" s="47" t="n"/>
    </row>
    <row r="28" ht="19.5" customHeight="1" s="36">
      <c r="A28" s="65" t="inlineStr">
        <is>
          <t>Engineering ML Project</t>
        </is>
      </c>
      <c r="B28" s="47" t="inlineStr">
        <is>
          <t>Week 15</t>
        </is>
      </c>
      <c r="C28" s="47" t="inlineStr">
        <is>
          <t>Team</t>
        </is>
      </c>
      <c r="D28" s="58" t="n">
        <v>0.3</v>
      </c>
      <c r="E28" s="47" t="inlineStr">
        <is>
          <t>Increased from 25% in this model</t>
        </is>
      </c>
      <c r="F28" s="47" t="n"/>
    </row>
    <row r="29" ht="19.5" customHeight="1" s="36">
      <c r="A29" s="65" t="inlineStr">
        <is>
          <t>Demo, viva &amp; reflection</t>
        </is>
      </c>
      <c r="B29" s="47" t="inlineStr">
        <is>
          <t>Week 15</t>
        </is>
      </c>
      <c r="C29" s="47" t="inlineStr">
        <is>
          <t>Individual</t>
        </is>
      </c>
      <c r="D29" s="58" t="n">
        <v>0.1</v>
      </c>
      <c r="E29" s="47" t="inlineStr">
        <is>
          <t>As in Model 1</t>
        </is>
      </c>
      <c r="F29" s="47" t="n"/>
    </row>
    <row r="30" ht="18" customHeight="1" s="36">
      <c r="A30" s="59" t="inlineStr">
        <is>
          <t>TOTAL</t>
        </is>
      </c>
      <c r="B30" s="60" t="n"/>
      <c r="C30" s="60" t="n"/>
      <c r="D30" s="61">
        <f>D22+D23+D24+D25+D27+D28+D29</f>
        <v/>
      </c>
      <c r="E30" s="60" t="n"/>
      <c r="F30" s="60" t="n"/>
    </row>
    <row r="31"/>
    <row r="32"/>
    <row r="33" ht="19.5" customHeight="1" s="36">
      <c r="A33" s="57" t="inlineStr">
        <is>
          <t>DESIGN NOTES</t>
        </is>
      </c>
    </row>
    <row r="34" ht="51.75" customHeight="1" s="36">
      <c r="A34" s="40" t="inlineStr">
        <is>
          <t>Why two tests, not one</t>
        </is>
      </c>
      <c r="B34" s="41" t="inlineStr">
        <is>
          <t>The original curriculum sketch carried a single practical test. With the assessment weeks fixed at Weeks 7 and 14, two tests are available and they should examine different things: Week 7 certifies data literacy (can you investigate a dataset?) and Week 14 certifies end-to-end capability (can you build and defend a model?). Splitting them also means a student who struggles in October is not sunk.</t>
        </is>
      </c>
    </row>
    <row r="35" ht="51.75" customHeight="1" s="36">
      <c r="A35" s="40" t="inlineStr">
        <is>
          <t>Why the tests are unaided</t>
        </is>
      </c>
      <c r="B35" s="41" t="inlineStr">
        <is>
          <t>Approved-materials rules, hidden-data grading and an understanding check support the unaided assessment. No setting in Colab blocks an AI assistant. AI assistance is permitted and actively taught in coursework, where students explain and defend their work; it is excluded from the two tests, which certify unaided capability. Students are told the reasoning in Week 6, not on the day.</t>
        </is>
      </c>
    </row>
    <row r="36" ht="51.75" customHeight="1" s="36">
      <c r="A36" s="40" t="inlineStr">
        <is>
          <t>Why 65% individual</t>
        </is>
      </c>
      <c r="B36" s="41" t="inlineStr">
        <is>
          <t>With teams of 4–5 and up to 22 teams in Cohort A, a team-heavy mark scheme would let a weak student pass on a strong teammate's work. Twelve individual quizzes, two individual tests, individually marked weekly challenges, and individual typed defence and reflection provide individual evidence alongside shared project marks.</t>
        </is>
      </c>
    </row>
    <row r="37" ht="51.75" customHeight="1" s="36">
      <c r="A37" s="40" t="inlineStr">
        <is>
          <t>Why continuous assessment</t>
        </is>
      </c>
      <c r="B37" s="41" t="inlineStr">
        <is>
          <t>Twelve auto-graded weekly quizzes plus eleven auto-graded weekly submissions mean 20% of the mark comes from these recurring components. Quiz feedback is immediate; local assignment grading runs after collection, and the lecturer gets a weekly engagement signal across ~195 students that is otherwise invisible until the first test. See the 'Assessment Tech Stack' and 'Marking Load' sheets for how this is affordable for one person. From Week 8 the quizzes and assignments are set after every three classes (Block 1 = W8-W10, Block 2 = W11-W13) instead of weekly; see Block_Assessment_Arrangement_2026-10-30.md.</t>
        </is>
      </c>
    </row>
    <row r="38" ht="51.75" customHeight="1" s="36">
      <c r="A38" s="40" t="inlineStr">
        <is>
          <t>Why nothing rewards accuracy alone</t>
        </is>
      </c>
      <c r="B38" s="41" t="inlineStr">
        <is>
          <t>Across all six rubrics, method, reasoning, validation and interpretation carry far more weight than the score achieved. A student whose model performs poorly but who diagnoses why, and says so, should out-score a student who copies a Kaggle notebook to a better number. The Week 15 recognition categories reinforce this: there is no prize for highest accuracy.</t>
        </is>
      </c>
    </row>
    <row r="39" ht="51.75" customHeight="1" s="36">
      <c r="A39" s="40" t="inlineStr">
        <is>
          <t>Late, absent and resit policy</t>
        </is>
      </c>
      <c r="B39" s="41" t="inlineStr">
        <is>
          <t>To be aligned with IUEA regulations before Week 5. As a minimum, agree in advance: the penalty for late coursework, the procedure for a student who misses a test week with cause, and whether a resit practical is available. Publish it in the syllabus, not by announcement.</t>
        </is>
      </c>
    </row>
    <row r="40" ht="51.75" customHeight="1" s="36">
      <c r="A40" s="40" t="inlineStr">
        <is>
          <t>Moderation</t>
        </is>
      </c>
      <c r="B40" s="41" t="inlineStr">
        <is>
          <t>Sample-moderate 10% of every component, and 100% of any script within 3 marks of a grade boundary. Publish every rubric before the work is set — students should never meet a rubric for the first time in an assessment.</t>
        </is>
      </c>
    </row>
  </sheetData>
  <mergeCells count="12">
    <mergeCell ref="A2:F2"/>
    <mergeCell ref="A33:F33"/>
    <mergeCell ref="B39:F39"/>
    <mergeCell ref="B38:F38"/>
    <mergeCell ref="A19:F19"/>
    <mergeCell ref="B34:F34"/>
    <mergeCell ref="A1:F1"/>
    <mergeCell ref="B37:F37"/>
    <mergeCell ref="A4:F4"/>
    <mergeCell ref="B36:F36"/>
    <mergeCell ref="B40:F40"/>
    <mergeCell ref="B35:F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A9D08E"/>
    <outlinePr summaryBelow="1" summaryRight="1"/>
    <pageSetUpPr fitToPage="0"/>
  </sheetPr>
  <dimension ref="A1:E6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4" customWidth="1" style="35" min="1" max="1"/>
    <col width="9" customWidth="1" style="35" min="2" max="2"/>
    <col width="96" customWidth="1" style="35" min="3" max="3"/>
    <col width="40" customWidth="1" style="35" min="4" max="4"/>
  </cols>
  <sheetData>
    <row r="1" ht="25.5" customHeight="1" s="36">
      <c r="A1" s="37" t="inlineStr">
        <is>
          <t>Assessment rubrics</t>
        </is>
      </c>
    </row>
    <row r="2" ht="18" customHeight="1" s="36">
      <c r="A2" s="38" t="inlineStr">
        <is>
          <t>Published to students before the work is set. Criterion weights sum to 100 by formula.</t>
        </is>
      </c>
    </row>
    <row r="3"/>
    <row r="4" ht="19.5" customHeight="1" s="36">
      <c r="A4" s="57" t="inlineStr">
        <is>
          <t>Engineering ML Project (25%) - as specified by the lecturer</t>
        </is>
      </c>
    </row>
    <row r="5" ht="21.75" customHeight="1" s="36">
      <c r="A5" s="42" t="inlineStr">
        <is>
          <t>Criterion</t>
        </is>
      </c>
      <c r="B5" s="42" t="inlineStr">
        <is>
          <t>Marks</t>
        </is>
      </c>
      <c r="C5" s="42" t="inlineStr">
        <is>
          <t>What earns the marks</t>
        </is>
      </c>
      <c r="D5" s="42" t="inlineStr">
        <is>
          <t>Marker note</t>
        </is>
      </c>
    </row>
    <row r="6" ht="43.5" customHeight="1" s="36">
      <c r="A6" s="46" t="inlineStr">
        <is>
          <t>Problem definition</t>
        </is>
      </c>
      <c r="B6" s="65" t="n">
        <v>15</v>
      </c>
      <c r="C6" s="47" t="inlineStr">
        <is>
          <t>The engineering problem is real, specific and bounded. The ML task is correctly derived from it. The target variable is justified, not merely available.</t>
        </is>
      </c>
      <c r="D6" s="47" t="n"/>
    </row>
    <row r="7" ht="43.5" customHeight="1" s="36">
      <c r="A7" s="46" t="inlineStr">
        <is>
          <t>Data understanding</t>
        </is>
      </c>
      <c r="B7" s="65" t="n">
        <v>15</v>
      </c>
      <c r="C7" s="47" t="inlineStr">
        <is>
          <t>Provenance, licence and collection method stated. Defects found and handled with justification. Limitations of the data acknowledged before any modelling.</t>
        </is>
      </c>
      <c r="D7" s="47" t="n"/>
    </row>
    <row r="8" ht="43.5" customHeight="1" s="36">
      <c r="A8" s="46" t="inlineStr">
        <is>
          <t>Methodology</t>
        </is>
      </c>
      <c r="B8" s="65" t="n">
        <v>20</v>
      </c>
      <c r="C8" s="47" t="inlineStr">
        <is>
          <t>Appropriate models chosen and compared under one protocol. Pipeline used. Hyperparameters handled sensibly. Choices explained rather than defaulted to.</t>
        </is>
      </c>
      <c r="D8" s="47" t="n"/>
    </row>
    <row r="9" ht="43.5" customHeight="1" s="36">
      <c r="A9" s="46" t="inlineStr">
        <is>
          <t>Engineering reasoning</t>
        </is>
      </c>
      <c r="B9" s="65" t="n">
        <v>20</v>
      </c>
      <c r="C9" s="47" t="inlineStr">
        <is>
          <t>Domain knowledge visibly enters the work through features, banding, metric choice or interpretation. The result is discussed as engineering, not as a score.</t>
        </is>
      </c>
      <c r="D9" s="47" t="n"/>
    </row>
    <row r="10" ht="43.5" customHeight="1" s="36">
      <c r="A10" s="46" t="inlineStr">
        <is>
          <t>Validation</t>
        </is>
      </c>
      <c r="B10" s="65" t="n">
        <v>15</v>
      </c>
      <c r="C10" s="47" t="inlineStr">
        <is>
          <t>Correct train/test discipline, cross-validation with a reported spread, leakage explicitly checked and ruled out, metric justified against the cost of error.</t>
        </is>
      </c>
      <c r="D10" s="47" t="n"/>
    </row>
    <row r="11" ht="43.5" customHeight="1" s="36">
      <c r="A11" s="46" t="inlineStr">
        <is>
          <t>Communication</t>
        </is>
      </c>
      <c r="B11" s="65" t="n">
        <v>10</v>
      </c>
      <c r="C11" s="47" t="inlineStr">
        <is>
          <t>The 2-page brief is readable by a non-specialist engineer. Charts answer questions and are captioned with findings. Uncertainty and limitations stated honestly.</t>
        </is>
      </c>
      <c r="D11" s="47" t="n"/>
    </row>
    <row r="12" ht="43.5" customHeight="1" s="36">
      <c r="A12" s="46" t="inlineStr">
        <is>
          <t>Reproducibility &amp; documentation</t>
        </is>
      </c>
      <c r="B12" s="65" t="n">
        <v>5</v>
      </c>
      <c r="C12" s="47" t="inlineStr">
        <is>
          <t>Repository runs from a clean clone. README complete. requirements.txt present. Seeds set. AI use declared. Contribution log present.</t>
        </is>
      </c>
      <c r="D12" s="47" t="n"/>
    </row>
    <row r="13" ht="18" customHeight="1" s="36">
      <c r="A13" s="59" t="inlineStr">
        <is>
          <t>TOTAL</t>
        </is>
      </c>
      <c r="B13" s="59">
        <f>SUM(B6:B12)</f>
        <v/>
      </c>
      <c r="C13" s="60" t="n"/>
      <c r="D13" s="60" t="n"/>
    </row>
    <row r="14"/>
    <row r="15" ht="19.5" customHeight="1" s="36">
      <c r="A15" s="57" t="inlineStr">
        <is>
          <t>Practical Test 1 - Data Investigation (15%)</t>
        </is>
      </c>
    </row>
    <row r="16" ht="21.75" customHeight="1" s="36">
      <c r="A16" s="42" t="inlineStr">
        <is>
          <t>Criterion</t>
        </is>
      </c>
      <c r="B16" s="42" t="inlineStr">
        <is>
          <t>Marks</t>
        </is>
      </c>
      <c r="C16" s="42" t="inlineStr">
        <is>
          <t>What earns the marks</t>
        </is>
      </c>
      <c r="D16" s="42" t="inlineStr">
        <is>
          <t>Marker note</t>
        </is>
      </c>
    </row>
    <row r="17" ht="43.5" customHeight="1" s="36">
      <c r="A17" s="46" t="inlineStr">
        <is>
          <t>Read and inspect the raw data</t>
        </is>
      </c>
      <c r="B17" s="65" t="n">
        <v>20</v>
      </c>
      <c r="C17" s="47" t="inlineStr">
        <is>
          <t>Read the CSV with pandas into raw_data without changing it. Show the first and last rows, shape, row count, column type, info(), describe(), missing counts per column, the repeated record_id count and the invalid records.</t>
        </is>
      </c>
      <c r="D17" s="47" t="n"/>
    </row>
    <row r="18" ht="43.5" customHeight="1" s="36">
      <c r="A18" s="46" t="inlineStr">
        <is>
          <t>Visualisation before cleaning</t>
        </is>
      </c>
      <c r="B18" s="65" t="n">
        <v>10</v>
      </c>
      <c r="C18" s="47" t="inlineStr">
        <is>
          <t>Scatter chart of load_pct against target from the raw data: correct points 4, title 2, horizontal label with % 2, vertical label with unit 2.</t>
        </is>
      </c>
      <c r="D18" s="47" t="n"/>
    </row>
    <row r="19" ht="43.5" customHeight="1" s="36">
      <c r="A19" s="46" t="inlineStr">
        <is>
          <t>Clean the data</t>
        </is>
      </c>
      <c r="B19" s="65" t="n">
        <v>20</v>
      </c>
      <c r="C19" s="47" t="inlineStr">
        <is>
          <t>Keep the first row per record_id, remove rows with missing target or load_pct outside 0 to 100, fill missing ambient_c with the median of the retained rows. 4 marks for each correctly cleaned column.</t>
        </is>
      </c>
      <c r="D19" s="47" t="n"/>
    </row>
    <row r="20" ht="43.5" customHeight="1" s="36">
      <c r="A20" s="46" t="inlineStr">
        <is>
          <t>Visualisation after cleaning</t>
        </is>
      </c>
      <c r="B20" s="65" t="n">
        <v>10</v>
      </c>
      <c r="C20" s="47" t="inlineStr">
        <is>
          <t>The same chart from the cleaned data, with the same four marking parts. No written comparison is required.</t>
        </is>
      </c>
      <c r="D20" s="47" t="n"/>
    </row>
    <row r="21" ht="43.5" customHeight="1" s="36">
      <c r="A21" s="46" t="inlineStr">
        <is>
          <t>Calculate statistics</t>
        </is>
      </c>
      <c r="B21" s="65" t="n">
        <v>15</v>
      </c>
      <c r="C21" s="47" t="inlineStr">
        <is>
          <t>Mean, sum, median, count and sample standard deviation of target, and every most frequent equipment_id. Six answers at 2.5 marks each.</t>
        </is>
      </c>
      <c r="D21" s="47" t="n"/>
    </row>
    <row r="22" ht="43.5" customHeight="1" s="36">
      <c r="A22" s="46" t="inlineStr">
        <is>
          <t>Group and aggregate</t>
        </is>
      </c>
      <c r="B22" s="65" t="n">
        <v>10</v>
      </c>
      <c r="C22" s="47" t="inlineStr">
        <is>
          <t>equipment_summary built with groupby and agg: mean and count of target for each equipment, 5 marks per column.</t>
        </is>
      </c>
      <c r="D22" s="47" t="n"/>
    </row>
    <row r="23" ht="43.5" customHeight="1" s="36">
      <c r="A23" s="46" t="inlineStr">
        <is>
          <t>Reuse your statistics in one function</t>
        </is>
      </c>
      <c r="B23" s="65" t="n">
        <v>5</v>
      </c>
      <c r="C23" s="47" t="inlineStr">
        <is>
          <t>A function that returns the mean, sum and median of any column of any table, checked on other numbers.</t>
        </is>
      </c>
      <c r="D23" s="47" t="n"/>
    </row>
    <row r="24" ht="43.5" customHeight="1" s="36">
      <c r="A24" s="46" t="inlineStr">
        <is>
          <t>Conditions and a loop</t>
        </is>
      </c>
      <c r="B24" s="65" t="n">
        <v>10</v>
      </c>
      <c r="C24" s="47" t="inlineStr">
        <is>
          <t>A for loop with if, elif and else counting loads as low (below 40), medium (40 to 75) or high (above 75): correct counts 6, loop 2, conditions 2.</t>
        </is>
      </c>
      <c r="D24" s="47" t="n"/>
    </row>
    <row r="25" ht="18" customHeight="1" s="36">
      <c r="A25" s="59" t="inlineStr">
        <is>
          <t>TOTAL</t>
        </is>
      </c>
      <c r="B25" s="59">
        <f>SUM(B17:B24)</f>
        <v/>
      </c>
      <c r="C25" s="60" t="n"/>
      <c r="D25" s="60" t="n"/>
    </row>
    <row r="26" ht="21.75" customHeight="1" s="36"/>
    <row r="27" ht="19.5" customHeight="1" s="36">
      <c r="A27" s="57" t="inlineStr">
        <is>
          <t>Practical Test 2 - End-to-End Engineering ML (20%)</t>
        </is>
      </c>
    </row>
    <row r="28" ht="21.75" customHeight="1" s="36">
      <c r="A28" s="42" t="inlineStr">
        <is>
          <t>Criterion</t>
        </is>
      </c>
      <c r="B28" s="42" t="inlineStr">
        <is>
          <t>Marks</t>
        </is>
      </c>
      <c r="C28" s="42" t="inlineStr">
        <is>
          <t>What earns the marks</t>
        </is>
      </c>
      <c r="D28" s="42" t="inlineStr">
        <is>
          <t>Marker note</t>
        </is>
      </c>
    </row>
    <row r="29" ht="43.5" customHeight="1" s="36">
      <c r="A29" s="46" t="inlineStr">
        <is>
          <t>Equipment-group split</t>
        </is>
      </c>
      <c r="B29" s="65" t="n">
        <v>10</v>
      </c>
      <c r="C29" s="47" t="inlineStr">
        <is>
          <t>group_split returns the train (E1 to E4), validation (E5) and test (E6) record_id lists in input order, without using target values. Week 10.</t>
        </is>
      </c>
      <c r="D29" s="47" t="n"/>
    </row>
    <row r="30" ht="43.5" customHeight="1" s="36">
      <c r="A30" s="46" t="inlineStr">
        <is>
          <t>Baseline, linear and tree predictions</t>
        </is>
      </c>
      <c r="B30" s="65" t="n">
        <v>15</v>
      </c>
      <c r="C30" s="47" t="inlineStr">
        <is>
          <t>predict_regression fits a training-mean baseline, linear regression and a decision tree (max_depth 4, random_state 17) on load_pct and ambient_c, fits preprocessing on training rows only, and returns three prediction lists. Week 8.</t>
        </is>
      </c>
      <c r="D30" s="47" t="n"/>
    </row>
    <row r="31" ht="43.5" customHeight="1" s="36">
      <c r="A31" s="46" t="inlineStr">
        <is>
          <t>MAE and RMSE</t>
        </is>
      </c>
      <c r="B31" s="65" t="n">
        <v>5</v>
      </c>
      <c r="C31" s="47" t="inlineStr">
        <is>
          <t>regression_errors returns mae and rmse over the same paired observations, unrounded. Week 8.</t>
        </is>
      </c>
      <c r="D31" s="47" t="n"/>
    </row>
    <row r="32" ht="43.5" customHeight="1" s="36">
      <c r="A32" s="46" t="inlineStr">
        <is>
          <t>Classification and cost</t>
        </is>
      </c>
      <c r="B32" s="65" t="n">
        <v>10</v>
      </c>
      <c r="C32" s="47" t="inlineStr">
        <is>
          <t>classification_metrics returns tp, tn, fp, fn, precision, recall and cost (5 per missed warning plus 1 per false alarm), with zero for an undefined ratio. Week 9.</t>
        </is>
      </c>
      <c r="D32" s="47" t="n"/>
    </row>
    <row r="33" ht="43.5" customHeight="1" s="36">
      <c r="A33" s="46" t="inlineStr">
        <is>
          <t>Group cross-validation</t>
        </is>
      </c>
      <c r="B33" s="65" t="n">
        <v>10</v>
      </c>
      <c r="C33" s="47" t="inlineStr">
        <is>
          <t>group_cv_mae holds out E1 to E5 in turn, fits a straight line on the other four groups and returns the five fold MAEs, their mean and their sample standard deviation. E6 is never used. Week 10.</t>
        </is>
      </c>
      <c r="D33" s="47" t="n"/>
    </row>
    <row r="34" ht="43.5" customHeight="1" s="36">
      <c r="A34" s="46" t="inlineStr">
        <is>
          <t>Feature ablation</t>
        </is>
      </c>
      <c r="B34" s="65" t="n">
        <v>10</v>
      </c>
      <c r="C34" s="47" t="inlineStr">
        <is>
          <t>ablation_metrics compares a straight line on load_pct and ambient_c with one that adds load_pct times ambient_c, on the same validation records, and returns both MAEs and the improvement. Week 11.</t>
        </is>
      </c>
      <c r="D34" s="47" t="n"/>
    </row>
    <row r="35" ht="43.5" customHeight="1" s="36">
      <c r="A35" s="46" t="inlineStr">
        <is>
          <t>Model selection</t>
        </is>
      </c>
      <c r="B35" s="65" t="n">
        <v>10</v>
      </c>
      <c r="C35" s="47" t="inlineStr">
        <is>
          <t>select_model keeps the candidates that meet the MAE and latency limits and picks the smallest validation MAE, then the smaller latency, then the name. Week 12.</t>
        </is>
      </c>
      <c r="D35" s="47" t="n"/>
    </row>
    <row r="36" ht="43.5" customHeight="1" s="36">
      <c r="A36" s="46" t="inlineStr">
        <is>
          <t>Ridge and nearest neighbours</t>
        </is>
      </c>
      <c r="B36" s="65" t="n">
        <v>15</v>
      </c>
      <c r="C36" s="47" t="inlineStr">
        <is>
          <t>ridge_and_knn fits a degree-3 ridge curve on load_pct (alpha 1) and a 3-neighbour model on scaled load_pct and ambient_c, using training rows only, and returns both validation MAEs and which is better. Week 13.</t>
        </is>
      </c>
      <c r="D36" s="47" t="n"/>
    </row>
    <row r="37" ht="43.5" customHeight="1" s="36">
      <c r="A37" s="46" t="inlineStr">
        <is>
          <t>Structured interpretation</t>
        </is>
      </c>
      <c r="B37" s="65" t="n">
        <v>15</v>
      </c>
      <c r="C37" s="47" t="inlineStr">
        <is>
          <t>Six scenario choices (A, B or C) on whole-group splits, training-only fill values, cost and threshold, the sealed test rows, choosing a ridge penalty and scaling for nearest neighbours. 2.5 marks each.</t>
        </is>
      </c>
      <c r="D37" s="47" t="n"/>
    </row>
    <row r="38" ht="18" customHeight="1" s="36">
      <c r="A38" s="59" t="inlineStr">
        <is>
          <t>TOTAL</t>
        </is>
      </c>
      <c r="B38" s="59">
        <f>SUM(B29:B37)</f>
        <v/>
      </c>
      <c r="C38" s="60" t="n"/>
      <c r="D38" s="60" t="n"/>
    </row>
    <row r="39" ht="21.75" customHeight="1" s="36"/>
    <row r="40" ht="19.5" customHeight="1" s="36">
      <c r="A40" s="57" t="inlineStr">
        <is>
          <t>Data Analysis Project (10%)</t>
        </is>
      </c>
    </row>
    <row r="41" ht="21.75" customHeight="1" s="36">
      <c r="A41" s="42" t="inlineStr">
        <is>
          <t>Criterion</t>
        </is>
      </c>
      <c r="B41" s="42" t="inlineStr">
        <is>
          <t>Marks</t>
        </is>
      </c>
      <c r="C41" s="42" t="inlineStr">
        <is>
          <t>What earns the marks</t>
        </is>
      </c>
      <c r="D41" s="42" t="inlineStr">
        <is>
          <t>Marker note</t>
        </is>
      </c>
    </row>
    <row r="42" ht="43.5" customHeight="1" s="36">
      <c r="A42" s="46" t="inlineStr">
        <is>
          <t>Question &amp; dataset fit</t>
        </is>
      </c>
      <c r="B42" s="65" t="n">
        <v>20</v>
      </c>
      <c r="C42" s="47" t="inlineStr">
        <is>
          <t>A real engineering question is stated, and the chosen dataset can actually answer it. Provenance and licence stated.</t>
        </is>
      </c>
      <c r="D42" s="47" t="n"/>
    </row>
    <row r="43" ht="43.5" customHeight="1" s="36">
      <c r="A43" s="46" t="inlineStr">
        <is>
          <t>Data quality work</t>
        </is>
      </c>
      <c r="B43" s="65" t="n">
        <v>25</v>
      </c>
      <c r="C43" s="47" t="inlineStr">
        <is>
          <t>Defects found and handled with written justification. A data quality statement is present.</t>
        </is>
      </c>
      <c r="D43" s="47" t="n"/>
    </row>
    <row r="44" ht="43.5" customHeight="1" s="36">
      <c r="A44" s="46" t="inlineStr">
        <is>
          <t>Analysis &amp; visualisation</t>
        </is>
      </c>
      <c r="B44" s="65" t="n">
        <v>30</v>
      </c>
      <c r="C44" s="47" t="inlineStr">
        <is>
          <t>Four or more charts, each answering a stated question. Correct chart types, labelled axes, findings in the captions.</t>
        </is>
      </c>
      <c r="D44" s="47" t="n"/>
    </row>
    <row r="45" ht="43.5" customHeight="1" s="36">
      <c r="A45" s="46" t="inlineStr">
        <is>
          <t>Findings &amp; interpretation</t>
        </is>
      </c>
      <c r="B45" s="65" t="n">
        <v>20</v>
      </c>
      <c r="C45" s="47" t="inlineStr">
        <is>
          <t>Conclusions supported by the analysis, stated in engineering terms, with limitations acknowledged.</t>
        </is>
      </c>
      <c r="D45" s="47" t="n"/>
    </row>
    <row r="46" ht="43.5" customHeight="1" s="36">
      <c r="A46" s="46" t="inlineStr">
        <is>
          <t>Individual contribution log</t>
        </is>
      </c>
      <c r="B46" s="65" t="n">
        <v>5</v>
      </c>
      <c r="C46" s="47" t="inlineStr">
        <is>
          <t>Present, specific, and consistent with the repository's commit history.</t>
        </is>
      </c>
      <c r="D46" s="47" t="n"/>
    </row>
    <row r="47" ht="18" customHeight="1" s="36">
      <c r="A47" s="59" t="inlineStr">
        <is>
          <t>TOTAL</t>
        </is>
      </c>
      <c r="B47" s="59">
        <f>SUM(B42:B46)</f>
        <v/>
      </c>
      <c r="C47" s="60" t="n"/>
      <c r="D47" s="60" t="n"/>
    </row>
    <row r="48" s="36"/>
    <row r="49" ht="19.5" customHeight="1" s="36">
      <c r="A49" s="57" t="inlineStr">
        <is>
          <t>Weekly quizzes (10%) - how the five questions in each are marked</t>
        </is>
      </c>
    </row>
    <row r="50" ht="21.75" customHeight="1" s="36">
      <c r="A50" s="42" t="inlineStr">
        <is>
          <t>Criterion</t>
        </is>
      </c>
      <c r="B50" s="42" t="inlineStr">
        <is>
          <t>Marks</t>
        </is>
      </c>
      <c r="C50" s="42" t="inlineStr">
        <is>
          <t>What earns the marks</t>
        </is>
      </c>
      <c r="D50" s="42" t="inlineStr">
        <is>
          <t>Marker note</t>
        </is>
      </c>
    </row>
    <row r="51" ht="43.5" customHeight="1" s="36">
      <c r="A51" s="46" t="inlineStr">
        <is>
          <t>Diagnosis of a silent wrong answer</t>
        </is>
      </c>
      <c r="B51" s="65" t="n">
        <v>40</v>
      </c>
      <c r="C51" s="47" t="inlineStr">
        <is>
          <t>Two of the five questions show code that runs cleanly and returns a wrong result. The student must name the cause. Auto-marked, single correct option, distractors chosen to be the plausible wrong diagnoses.</t>
        </is>
      </c>
      <c r="D51" s="47" t="n"/>
    </row>
    <row r="52" ht="43.5" customHeight="1" s="36">
      <c r="A52" s="46" t="inlineStr">
        <is>
          <t>Reading an error or a traceback</t>
        </is>
      </c>
      <c r="B52" s="65" t="n">
        <v>20</v>
      </c>
      <c r="C52" s="47" t="inlineStr">
        <is>
          <t>One question shows a traceback or a failing cell. The student identifies the offending line or the cause. Auto-marked.</t>
        </is>
      </c>
      <c r="D52" s="47" t="n"/>
    </row>
    <row r="53" ht="43.5" customHeight="1" s="36">
      <c r="A53" s="46" t="inlineStr">
        <is>
          <t>Interpreting an output, chart or table</t>
        </is>
      </c>
      <c r="B53" s="65" t="n">
        <v>20</v>
      </c>
      <c r="C53" s="47" t="inlineStr">
        <is>
          <t>One question supplies a real output - a describe(), a confusion matrix, an ablation table - and asks what it means for the engineering problem. Auto-marked.</t>
        </is>
      </c>
      <c r="D53" s="47" t="n"/>
    </row>
    <row r="54" ht="43.5" customHeight="1" s="36">
      <c r="A54" s="46" t="inlineStr">
        <is>
          <t>Judgement under a stated constraint</t>
        </is>
      </c>
      <c r="B54" s="65" t="n">
        <v>20</v>
      </c>
      <c r="C54" s="47" t="inlineStr">
        <is>
          <t>One question gives a constraint (a cost, a false-alarm budget, a regulator) and asks which choice follows. Auto-marked, but the distractors are all defensible in the absence of the constraint, so the constraint has to be read.</t>
        </is>
      </c>
      <c r="D54" s="47" t="n"/>
    </row>
    <row r="55" ht="18" customHeight="1" s="36">
      <c r="A55" s="59" t="inlineStr">
        <is>
          <t>TOTAL</t>
        </is>
      </c>
      <c r="B55" s="59">
        <f>SUM(B51:B54)</f>
        <v/>
      </c>
      <c r="C55" s="60" t="n"/>
      <c r="D55" s="60" t="n"/>
    </row>
    <row r="56" s="36"/>
    <row r="57" ht="19.5" customHeight="1" s="36">
      <c r="A57" s="57" t="inlineStr">
        <is>
          <t>Demo, viva &amp; individual reflection (10%)</t>
        </is>
      </c>
    </row>
    <row r="58" ht="21.75" customHeight="1" s="36">
      <c r="A58" s="42" t="inlineStr">
        <is>
          <t>Criterion</t>
        </is>
      </c>
      <c r="B58" s="42" t="inlineStr">
        <is>
          <t>Marks</t>
        </is>
      </c>
      <c r="C58" s="42" t="inlineStr">
        <is>
          <t>What earns the marks</t>
        </is>
      </c>
      <c r="D58" s="42" t="inlineStr">
        <is>
          <t>Marker note</t>
        </is>
      </c>
    </row>
    <row r="59" ht="43.5" customHeight="1" s="36">
      <c r="A59" s="46" t="inlineStr">
        <is>
          <t>Presentation evidence</t>
        </is>
      </c>
      <c r="B59" s="65" t="n">
        <v>35</v>
      </c>
      <c r="C59" s="47" t="inlineStr">
        <is>
          <t>Slides and narration notes explain the question, method, evidence and limitations for an engineering audience. The local text grader does not assess visual styling or spoken delivery.</t>
        </is>
      </c>
      <c r="D59" s="47" t="n"/>
    </row>
    <row r="60" ht="43.5" customHeight="1" s="36">
      <c r="A60" s="46" t="inlineStr">
        <is>
          <t>Individual written defence</t>
        </is>
      </c>
      <c r="B60" s="65" t="n">
        <v>40</v>
      </c>
      <c r="C60" s="47" t="inlineStr">
        <is>
          <t>Two typed answers about the student's own repository identify specific cells/results and explain the decisions. Credit is based on the submitted evidence; live questioning is formative.</t>
        </is>
      </c>
      <c r="D60" s="47" t="n"/>
    </row>
    <row r="61" ht="43.5" customHeight="1" s="36">
      <c r="A61" s="46" t="inlineStr">
        <is>
          <t>Reflection</t>
        </is>
      </c>
      <c r="B61" s="65" t="n">
        <v>20</v>
      </c>
      <c r="C61" s="47" t="inlineStr">
        <is>
          <t>500 words. Specific about what changed since Week 1, what remains difficult, and two concrete Semester 2 goals. Generic reflection scores low.</t>
        </is>
      </c>
      <c r="D61" s="47" t="n"/>
    </row>
    <row r="62" ht="43.5" customHeight="1" s="36">
      <c r="A62" s="46" t="inlineStr">
        <is>
          <t>AI-use declaration</t>
        </is>
      </c>
      <c r="B62" s="65" t="n">
        <v>5</v>
      </c>
      <c r="C62" s="47" t="inlineStr">
        <is>
          <t>Present, complete and plausible against the repository history.</t>
        </is>
      </c>
      <c r="D62" s="47" t="n"/>
    </row>
    <row r="63" ht="18" customHeight="1" s="36">
      <c r="A63" s="59" t="inlineStr">
        <is>
          <t>TOTAL</t>
        </is>
      </c>
      <c r="B63" s="59">
        <f>SUM(B59:B62)</f>
        <v/>
      </c>
      <c r="C63" s="60" t="n"/>
      <c r="D63" s="60" t="n"/>
    </row>
    <row r="64" s="36"/>
    <row r="65" ht="48" customHeight="1" s="36">
      <c r="A65" s="45" t="inlineStr">
        <is>
          <t>Apply the published execution, evidence and explanation criteria. Missing justification affects its specified criterion; there is no additional whole-submission penalty based on a live answer. Individual typed defence and reflection are separate from shared project marks. Live and peer feedback are formative.</t>
        </is>
      </c>
    </row>
  </sheetData>
  <mergeCells count="9">
    <mergeCell ref="A1:D1"/>
    <mergeCell ref="A40:D40"/>
    <mergeCell ref="A27:D27"/>
    <mergeCell ref="A4:D4"/>
    <mergeCell ref="A15:D15"/>
    <mergeCell ref="A65:D65"/>
    <mergeCell ref="A57:D57"/>
    <mergeCell ref="A2:D2"/>
    <mergeCell ref="A49:D4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4472C4"/>
    <outlinePr summaryBelow="1" summaryRight="1"/>
    <pageSetUpPr fitToPage="0"/>
  </sheetPr>
  <dimension ref="A1:E2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4" customWidth="1" style="35" min="1" max="1"/>
    <col width="14" customWidth="1" style="35" min="2" max="2"/>
    <col width="56" customWidth="1" style="35" min="3" max="3"/>
    <col width="40" customWidth="1" style="35" min="4" max="4"/>
    <col width="76" customWidth="1" style="35" min="5" max="5"/>
  </cols>
  <sheetData>
    <row r="1" ht="25.5" customHeight="1" s="36">
      <c r="A1" s="37" t="inlineStr">
        <is>
          <t>Tool rollout — every tool introduced by the problem it solves</t>
        </is>
      </c>
    </row>
    <row r="2" ht="18" customHeight="1" s="36">
      <c r="A2" s="38" t="inlineStr">
        <is>
          <t>No tool is named before the problem that needs it. This is what prevents tool fatigue.</t>
        </is>
      </c>
    </row>
    <row r="3"/>
    <row r="4" ht="31.5" customHeight="1" s="36">
      <c r="A4" s="42" t="inlineStr">
        <is>
          <t>Tool</t>
        </is>
      </c>
      <c r="B4" s="42" t="inlineStr">
        <is>
          <t>Week introduced</t>
        </is>
      </c>
      <c r="C4" s="42" t="inlineStr">
        <is>
          <t>What problem does this tool solve?</t>
        </is>
      </c>
      <c r="D4" s="42" t="inlineStr">
        <is>
          <t>First use in class</t>
        </is>
      </c>
      <c r="E4" s="42" t="inlineStr">
        <is>
          <t>Notes and cautions</t>
        </is>
      </c>
    </row>
    <row r="5" ht="33.75" customHeight="1" s="36">
      <c r="A5" s="46" t="inlineStr">
        <is>
          <t>GitHub / Kaggle accounts</t>
        </is>
      </c>
      <c r="B5" s="65" t="n">
        <v>1</v>
      </c>
      <c r="C5" s="47" t="inlineStr">
        <is>
          <t>Where will my work live, and where will I find data?</t>
        </is>
      </c>
      <c r="D5" s="47" t="inlineStr">
        <is>
          <t>Account creation only</t>
        </is>
      </c>
      <c r="E5" s="47" t="inlineStr">
        <is>
          <t>No installation in Week 1 - nobody is blocked by hardware on day one.</t>
        </is>
      </c>
    </row>
    <row r="6" ht="33.75" customHeight="1" s="36">
      <c r="A6" s="48" t="inlineStr">
        <is>
          <t>Git &amp; GitHub</t>
        </is>
      </c>
      <c r="B6" s="66" t="n">
        <v>2</v>
      </c>
      <c r="C6" s="49" t="inlineStr">
        <is>
          <t>How do I keep versions, and prove who did what?</t>
        </is>
      </c>
      <c r="D6" s="49" t="inlineStr">
        <is>
          <t>First commit and push</t>
        </is>
      </c>
      <c r="E6" s="49" t="inlineStr">
        <is>
          <t>Commit early and often; branches deferred to Week 11 where they have an obvious purpose.</t>
        </is>
      </c>
    </row>
    <row r="7" ht="33.75" customHeight="1" s="36">
      <c r="A7" s="46" t="inlineStr">
        <is>
          <t>Jupyter Notebook</t>
        </is>
      </c>
      <c r="B7" s="65" t="n">
        <v>2</v>
      </c>
      <c r="C7" s="47" t="inlineStr">
        <is>
          <t>Where can I experiment with data and see results immediately?</t>
        </is>
      </c>
      <c r="D7" s="47" t="inlineStr">
        <is>
          <t>First notebook</t>
        </is>
      </c>
      <c r="E7" s="47" t="inlineStr">
        <is>
          <t>Teach the out-of-order-cell trap deliberately in Week 2, not accidentally in Week 14.</t>
        </is>
      </c>
    </row>
    <row r="8" ht="33.75" customHeight="1" s="36">
      <c r="A8" s="48" t="inlineStr">
        <is>
          <t>Python 3.11+ &amp; pip</t>
        </is>
      </c>
      <c r="B8" s="66" t="n">
        <v>2</v>
      </c>
      <c r="C8" s="49" t="inlineStr">
        <is>
          <t>What actually runs my instructions?</t>
        </is>
      </c>
      <c r="D8" s="49" t="inlineStr">
        <is>
          <t>hello_engineering.py</t>
        </is>
      </c>
      <c r="E8" s="49" t="inlineStr">
        <is>
          <t>Colab-first Week 2; prepared lab Python is the offline fallback.</t>
        </is>
      </c>
    </row>
    <row r="9" ht="33.75" customHeight="1" s="36">
      <c r="A9" s="46" t="inlineStr">
        <is>
          <t>Terminal / command line</t>
        </is>
      </c>
      <c r="B9" s="65" t="n">
        <v>2</v>
      </c>
      <c r="C9" s="47" t="inlineStr">
        <is>
          <t>How do I tell the computer where things are?</t>
        </is>
      </c>
      <c r="D9" s="47" t="inlineStr">
        <is>
          <t>pwd, ls, cd, mkdir</t>
        </is>
      </c>
      <c r="E9" s="47" t="inlineStr">
        <is>
          <t>Four commands only. Resist the temptation to teach shell scripting.</t>
        </is>
      </c>
    </row>
    <row r="10" ht="33.75" customHeight="1" s="36">
      <c r="A10" s="48" t="inlineStr">
        <is>
          <t>VS Code + Python/Jupyter extensions</t>
        </is>
      </c>
      <c r="B10" s="66" t="n">
        <v>2</v>
      </c>
      <c r="C10" s="49" t="inlineStr">
        <is>
          <t>Where do I write, run and debug real code?</t>
        </is>
      </c>
      <c r="D10" s="49" t="inlineStr">
        <is>
          <t>First script</t>
        </is>
      </c>
      <c r="E10" s="49" t="inlineStr">
        <is>
          <t>Pre-install extensions on lab machines; they are a large download.</t>
        </is>
      </c>
    </row>
    <row r="11" ht="33.75" customHeight="1" s="36">
      <c r="A11" s="46" t="inlineStr">
        <is>
          <t>AI coding assistant</t>
        </is>
      </c>
      <c r="B11" s="65" t="n">
        <v>3</v>
      </c>
      <c r="C11" s="47" t="inlineStr">
        <is>
          <t>How do I get unstuck without outsourcing my thinking?</t>
        </is>
      </c>
      <c r="D11" s="47" t="inlineStr">
        <is>
          <t>Explaining an error message</t>
        </is>
      </c>
      <c r="E11" s="47" t="inlineStr">
        <is>
          <t>Introduced in stages: explain an error (W3) -&gt; compare approaches (W6) -&gt; audit my pipeline for leakage (W10) -&gt; permitted with a log in the W12 challenge and in projects. Prohibited in both tests.</t>
        </is>
      </c>
    </row>
    <row r="12" ht="33.75" customHeight="1" s="36">
      <c r="A12" s="48" t="inlineStr">
        <is>
          <t>VS Code debugger</t>
        </is>
      </c>
      <c r="B12" s="66" t="n">
        <v>3</v>
      </c>
      <c r="C12" s="49" t="inlineStr">
        <is>
          <t>How do I find out what my code is actually doing?</t>
        </is>
      </c>
      <c r="D12" s="49" t="inlineStr">
        <is>
          <t>Stepping through a function</t>
        </is>
      </c>
      <c r="E12" s="49" t="inlineStr">
        <is>
          <t>Rehearse the demo. A fumbled debugger demo puts students off it permanently.</t>
        </is>
      </c>
    </row>
    <row r="13" ht="33.75" customHeight="1" s="36">
      <c r="A13" s="46" t="inlineStr">
        <is>
          <t>csv module &amp; open()</t>
        </is>
      </c>
      <c r="B13" s="65" t="n">
        <v>4</v>
      </c>
      <c r="C13" s="47" t="inlineStr">
        <is>
          <t>How do I read a file at all?</t>
        </is>
      </c>
      <c r="D13" s="47" t="inlineStr">
        <is>
          <t>Reading Report script</t>
        </is>
      </c>
      <c r="E13" s="47" t="inlineStr">
        <is>
          <t>Deliberately the hard way, so pandas is earned in Week 5.</t>
        </is>
      </c>
    </row>
    <row r="14" ht="33.75" customHeight="1" s="36">
      <c r="A14" s="48" t="inlineStr">
        <is>
          <t>Kaggle &amp; UCI repository</t>
        </is>
      </c>
      <c r="B14" s="66" t="n">
        <v>5</v>
      </c>
      <c r="C14" s="49" t="inlineStr">
        <is>
          <t>Where do I find data, and how do I judge whether I should trust it?</t>
        </is>
      </c>
      <c r="D14" s="49" t="inlineStr">
        <is>
          <t>Data Analysis Project dataset selection</t>
        </is>
      </c>
      <c r="E14" s="49" t="inlineStr">
        <is>
          <t>Teach the dataset card, the licence and provenance - not just the download button.</t>
        </is>
      </c>
    </row>
    <row r="15" ht="33.75" customHeight="1" s="36">
      <c r="A15" s="46" t="inlineStr">
        <is>
          <t>NumPy</t>
        </is>
      </c>
      <c r="B15" s="65" t="n">
        <v>5</v>
      </c>
      <c r="C15" s="47" t="inlineStr">
        <is>
          <t>How do I do arithmetic on thousands of measurements at once?</t>
        </is>
      </c>
      <c r="D15" s="47" t="inlineStr">
        <is>
          <t>Vectorised operations</t>
        </is>
      </c>
      <c r="E15" s="47" t="inlineStr">
        <is>
          <t>Keep it light: arrays and elementwise maths. Broadcasting is a footnote.</t>
        </is>
      </c>
    </row>
    <row r="16" ht="33.75" customHeight="1" s="36">
      <c r="A16" s="48" t="inlineStr">
        <is>
          <t>pandas</t>
        </is>
      </c>
      <c r="B16" s="66" t="n">
        <v>5</v>
      </c>
      <c r="C16" s="49" t="inlineStr">
        <is>
          <t>How do I work with a table of engineering data?</t>
        </is>
      </c>
      <c r="D16" s="49" t="inlineStr">
        <is>
          <t>Twelve Questions notebook</t>
        </is>
      </c>
      <c r="E16" s="49" t="inlineStr">
        <is>
          <t>The single most important tool of the semester. Budget generously.</t>
        </is>
      </c>
    </row>
    <row r="17" ht="33.75" customHeight="1" s="36">
      <c r="A17" s="46" t="inlineStr">
        <is>
          <t>matplotlib</t>
        </is>
      </c>
      <c r="B17" s="65" t="n">
        <v>6</v>
      </c>
      <c r="C17" s="47" t="inlineStr">
        <is>
          <t>How do I see my data?</t>
        </is>
      </c>
      <c r="D17" s="47" t="inlineStr">
        <is>
          <t>Histograms and scatter plots</t>
        </is>
      </c>
      <c r="E17" s="47" t="inlineStr">
        <is>
          <t>Figure/axes, labels, units, saving. Nothing more.</t>
        </is>
      </c>
    </row>
    <row r="18" ht="33.75" customHeight="1" s="36">
      <c r="A18" s="48" t="inlineStr">
        <is>
          <t>seaborn</t>
        </is>
      </c>
      <c r="B18" s="66" t="n">
        <v>6</v>
      </c>
      <c r="C18" s="49" t="inlineStr">
        <is>
          <t>How do I see it quickly and well?</t>
        </is>
      </c>
      <c r="D18" s="49" t="inlineStr">
        <is>
          <t>Box plots, heatmaps, pairplot</t>
        </is>
      </c>
      <c r="E18" s="49" t="inlineStr">
        <is>
          <t>Introduced after matplotlib so students know what it is wrapping.</t>
        </is>
      </c>
    </row>
    <row r="19" ht="33.75" customHeight="1" s="36">
      <c r="A19" s="46" t="inlineStr">
        <is>
          <t>scikit-learn (core)</t>
        </is>
      </c>
      <c r="B19" s="65" t="n">
        <v>8</v>
      </c>
      <c r="C19" s="47" t="inlineStr">
        <is>
          <t>How do I build a model that learns from examples?</t>
        </is>
      </c>
      <c r="D19" s="47" t="inlineStr">
        <is>
          <t>LinearRegression, train_test_split, metrics</t>
        </is>
      </c>
      <c r="E19" s="47" t="inlineStr">
        <is>
          <t>Name the fit/predict/score pattern explicitly - every later model reuses it.</t>
        </is>
      </c>
    </row>
    <row r="20" ht="33.75" customHeight="1" s="36">
      <c r="A20" s="48" t="inlineStr">
        <is>
          <t>scikit-learn (classifiers)</t>
        </is>
      </c>
      <c r="B20" s="66" t="n">
        <v>9</v>
      </c>
      <c r="C20" s="49" t="inlineStr">
        <is>
          <t>How do I get the machine to choose between categories?</t>
        </is>
      </c>
      <c r="D20" s="49" t="inlineStr">
        <is>
          <t>LogisticRegression, DecisionTree, RandomForest</t>
        </is>
      </c>
      <c r="E20" s="49" t="inlineStr">
        <is>
          <t>plot_tree is worth the time: a readable model is a teaching asset.</t>
        </is>
      </c>
    </row>
    <row r="21" ht="33.75" customHeight="1" s="36">
      <c r="A21" s="46" t="inlineStr">
        <is>
          <t>scikit-learn (validation)</t>
        </is>
      </c>
      <c r="B21" s="65" t="n">
        <v>10</v>
      </c>
      <c r="C21" s="47" t="inlineStr">
        <is>
          <t>How do I know whether to trust my own model?</t>
        </is>
      </c>
      <c r="D21" s="47" t="inlineStr">
        <is>
          <t>cross_val_score, validation_curve, Pipeline</t>
        </is>
      </c>
      <c r="E21" s="47" t="inlineStr">
        <is>
          <t>Pipeline is introduced as the structural fix for leakage, not as tidy code.</t>
        </is>
      </c>
    </row>
    <row r="22" ht="33.75" customHeight="1" s="36">
      <c r="A22" s="48" t="inlineStr">
        <is>
          <t>scikit-learn (preprocessing)</t>
        </is>
      </c>
      <c r="B22" s="66" t="n">
        <v>11</v>
      </c>
      <c r="C22" s="49" t="inlineStr">
        <is>
          <t>How do I feed the model what it can actually use?</t>
        </is>
      </c>
      <c r="D22" s="49" t="inlineStr">
        <is>
          <t>OneHotEncoder, StandardScaler, ColumnTransformer</t>
        </is>
      </c>
      <c r="E22" s="49" t="inlineStr">
        <is>
          <t>Always inside a Pipeline, from the first example, with no exceptions.</t>
        </is>
      </c>
    </row>
    <row r="23" ht="33.75" customHeight="1" s="36">
      <c r="A23" s="46" t="inlineStr">
        <is>
          <t>XGBoost / LightGBM</t>
        </is>
      </c>
      <c r="B23" s="65" t="n">
        <v>12</v>
      </c>
      <c r="C23" s="47" t="inlineStr">
        <is>
          <t>Is there something stronger?</t>
        </is>
      </c>
      <c r="D23" s="47" t="inlineStr">
        <is>
          <t>60-second demonstration only</t>
        </is>
      </c>
      <c r="E23" s="47" t="inlineStr">
        <is>
          <t>DEFERRED to Semester 2 by design, and the students are told why.</t>
        </is>
      </c>
    </row>
    <row r="24" ht="33.75" customHeight="1" s="36">
      <c r="A24" s="48" t="inlineStr">
        <is>
          <t>scikit-learn (search)</t>
        </is>
      </c>
      <c r="B24" s="66" t="n">
        <v>12</v>
      </c>
      <c r="C24" s="49" t="inlineStr">
        <is>
          <t>How do I choose between models fairly?</t>
        </is>
      </c>
      <c r="D24" s="49" t="inlineStr">
        <is>
          <t>GridSearchCV inside a Pipeline</t>
        </is>
      </c>
      <c r="E24" s="49" t="inlineStr">
        <is>
          <t>One worked example. The students do the rest unaided.</t>
        </is>
      </c>
    </row>
    <row r="25" ht="33.75" customHeight="1" s="36">
      <c r="A25" s="46" t="inlineStr">
        <is>
          <t>Streamlit</t>
        </is>
      </c>
      <c r="B25" s="65" t="n">
        <v>13</v>
      </c>
      <c r="C25" s="47" t="inlineStr">
        <is>
          <t>How do I turn a model into something a colleague can use?</t>
        </is>
      </c>
      <c r="D25" s="47" t="inlineStr">
        <is>
          <t>3-minute teaser</t>
        </is>
      </c>
      <c r="E25" s="47" t="inlineStr">
        <is>
          <t>Semester 2 destination. Mentioned to create appetite, not taught.</t>
        </is>
      </c>
    </row>
    <row r="26" ht="33.75" customHeight="1" s="36">
      <c r="A26" s="48" t="inlineStr">
        <is>
          <t>requirements.txt / environment capture</t>
        </is>
      </c>
      <c r="B26" s="66" t="n">
        <v>13</v>
      </c>
      <c r="C26" s="49" t="inlineStr">
        <is>
          <t>How does someone else run my work next year?</t>
        </is>
      </c>
      <c r="D26" s="49" t="inlineStr">
        <is>
          <t>Repository freeze</t>
        </is>
      </c>
      <c r="E26" s="49" t="inlineStr">
        <is>
          <t>Paired with restart-and-run-all as the acceptance test.</t>
        </is>
      </c>
    </row>
    <row r="27"/>
    <row r="28" ht="39.75" customHeight="1" s="36">
      <c r="A28" s="56" t="inlineStr">
        <is>
          <t>Deliberately NOT in Semester 1: deep learning, PyTorch, OpenCV, transfer learning, time-series forecasting, RAG, agents, MLOps, FastAPI, cloud deployment. All are Semester 2. Students are told this explicitly and told why: a beginner who meets ten tools learns none of them.</t>
        </is>
      </c>
    </row>
  </sheetData>
  <mergeCells count="3">
    <mergeCell ref="A2:E2"/>
    <mergeCell ref="A1:E1"/>
    <mergeCell ref="A28:E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BF8F00"/>
    <outlinePr summaryBelow="1" summaryRight="1"/>
    <pageSetUpPr fitToPage="0"/>
  </sheetPr>
  <dimension ref="A1:H2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6" customWidth="1" style="35" min="1" max="1"/>
    <col width="12" customWidth="1" style="35" min="2" max="2"/>
    <col width="44" customWidth="1" style="35" min="3" max="3"/>
    <col width="26" customWidth="1" style="35" min="4" max="4"/>
    <col width="42" customWidth="1" style="35" min="5" max="6"/>
    <col width="16" customWidth="1" style="35" min="7" max="7"/>
    <col width="22" customWidth="1" style="35" min="8" max="8"/>
  </cols>
  <sheetData>
    <row r="1" ht="25.5" customHeight="1" s="36">
      <c r="A1" s="37" t="inlineStr">
        <is>
          <t>Dataset register</t>
        </is>
      </c>
    </row>
    <row r="2" ht="18" customHeight="1" s="36">
      <c r="A2" s="38" t="inlineStr">
        <is>
          <t>Stage every dataset on the local share at the start of the semester. Never fetch live in class.</t>
        </is>
      </c>
    </row>
    <row r="3"/>
    <row r="4" ht="31.5" customHeight="1" s="36">
      <c r="A4" s="42" t="inlineStr">
        <is>
          <t>Dataset</t>
        </is>
      </c>
      <c r="B4" s="42" t="inlineStr">
        <is>
          <t>Cohort(s)</t>
        </is>
      </c>
      <c r="C4" s="42" t="inlineStr">
        <is>
          <t>Host / identifier</t>
        </is>
      </c>
      <c r="D4" s="42" t="inlineStr">
        <is>
          <t>Licence</t>
        </is>
      </c>
      <c r="E4" s="42" t="inlineStr">
        <is>
          <t>Size</t>
        </is>
      </c>
      <c r="F4" s="42" t="inlineStr">
        <is>
          <t>Task</t>
        </is>
      </c>
      <c r="G4" s="42" t="inlineStr">
        <is>
          <t>Weeks used</t>
        </is>
      </c>
      <c r="H4" s="42" t="inlineStr">
        <is>
          <t>Status</t>
        </is>
      </c>
    </row>
    <row r="5" ht="31.5" customHeight="1" s="36">
      <c r="A5" s="43" t="inlineStr">
        <is>
          <t>Concrete Compressive Strength</t>
        </is>
      </c>
      <c r="B5" s="67" t="inlineStr">
        <is>
          <t>A</t>
        </is>
      </c>
      <c r="C5" s="44" t="inlineStr">
        <is>
          <t>UCI ML Repository, dataset 165 (doi 10.24432/C5PK67)</t>
        </is>
      </c>
      <c r="D5" s="44" t="inlineStr">
        <is>
          <t>CC BY 4.0</t>
        </is>
      </c>
      <c r="E5" s="44" t="inlineStr">
        <is>
          <t>1,030 rows x 9 cols</t>
        </is>
      </c>
      <c r="F5" s="44" t="inlineStr">
        <is>
          <t>Regression - strength in MPa</t>
        </is>
      </c>
      <c r="G5" s="67" t="inlineStr">
        <is>
          <t>1, 5, 6, 8, 11</t>
        </is>
      </c>
      <c r="H5" s="44" t="inlineStr">
        <is>
          <t>VERIFIED 2026-09-01</t>
        </is>
      </c>
    </row>
    <row r="6" ht="31.5" customHeight="1" s="36">
      <c r="A6" s="43" t="inlineStr">
        <is>
          <t>Energy Efficiency (Tsanas &amp; Xifara)</t>
        </is>
      </c>
      <c r="B6" s="67" t="inlineStr">
        <is>
          <t>A</t>
        </is>
      </c>
      <c r="C6" s="44" t="inlineStr">
        <is>
          <t>UCI ML Repository, dataset 242 (doi 10.24432/C51307)</t>
        </is>
      </c>
      <c r="D6" s="44" t="inlineStr">
        <is>
          <t>CC BY 4.0</t>
        </is>
      </c>
      <c r="E6" s="44" t="inlineStr">
        <is>
          <t>768 rows x 8 features, 2 targets</t>
        </is>
      </c>
      <c r="F6" s="44" t="inlineStr">
        <is>
          <t>Regression - heating &amp; cooling load</t>
        </is>
      </c>
      <c r="G6" s="67" t="inlineStr">
        <is>
          <t>5, 6, 8, 11</t>
        </is>
      </c>
      <c r="H6" s="44" t="inlineStr">
        <is>
          <t>VERIFIED 2026-09-01</t>
        </is>
      </c>
    </row>
    <row r="7" ht="31.5" customHeight="1" s="36">
      <c r="A7" s="51" t="inlineStr">
        <is>
          <t>Concrete Slump Test</t>
        </is>
      </c>
      <c r="B7" s="68" t="inlineStr">
        <is>
          <t>A</t>
        </is>
      </c>
      <c r="C7" s="52" t="inlineStr">
        <is>
          <t>UCI ML Repository, dataset 182</t>
        </is>
      </c>
      <c r="D7" s="52" t="inlineStr">
        <is>
          <t>Check on the dataset page</t>
        </is>
      </c>
      <c r="E7" s="52" t="inlineStr">
        <is>
          <t>~103 rows</t>
        </is>
      </c>
      <c r="F7" s="52" t="inlineStr">
        <is>
          <t>Regression</t>
        </is>
      </c>
      <c r="G7" s="68" t="inlineStr">
        <is>
          <t>7 (test variant)</t>
        </is>
      </c>
      <c r="H7" s="52" t="inlineStr">
        <is>
          <t>VERIFY BEFORE USE</t>
        </is>
      </c>
    </row>
    <row r="8" ht="31.5" customHeight="1" s="36">
      <c r="A8" s="51" t="inlineStr">
        <is>
          <t>Appliances Energy Prediction</t>
        </is>
      </c>
      <c r="B8" s="68" t="inlineStr">
        <is>
          <t>A</t>
        </is>
      </c>
      <c r="C8" s="52" t="inlineStr">
        <is>
          <t>UCI ML Repository, dataset 374</t>
        </is>
      </c>
      <c r="D8" s="52" t="inlineStr">
        <is>
          <t>Check on the dataset page</t>
        </is>
      </c>
      <c r="E8" s="52" t="inlineStr">
        <is>
          <t>~19,735 rows</t>
        </is>
      </c>
      <c r="F8" s="52" t="inlineStr">
        <is>
          <t>Regression / time series</t>
        </is>
      </c>
      <c r="G8" s="68" t="inlineStr">
        <is>
          <t>Project pool; Semester 2</t>
        </is>
      </c>
      <c r="H8" s="52" t="inlineStr">
        <is>
          <t>VERIFY BEFORE USE</t>
        </is>
      </c>
    </row>
    <row r="9" ht="31.5" customHeight="1" s="36">
      <c r="A9" s="51" t="inlineStr">
        <is>
          <t>Occupancy Detection</t>
        </is>
      </c>
      <c r="B9" s="68" t="inlineStr">
        <is>
          <t>A</t>
        </is>
      </c>
      <c r="C9" s="52" t="inlineStr">
        <is>
          <t>UCI ML Repository, dataset 357</t>
        </is>
      </c>
      <c r="D9" s="52" t="inlineStr">
        <is>
          <t>Check on the dataset page</t>
        </is>
      </c>
      <c r="E9" s="52" t="inlineStr">
        <is>
          <t>~20,560 rows</t>
        </is>
      </c>
      <c r="F9" s="52" t="inlineStr">
        <is>
          <t>Classification - sensors in a room</t>
        </is>
      </c>
      <c r="G9" s="68" t="inlineStr">
        <is>
          <t>Project pool</t>
        </is>
      </c>
      <c r="H9" s="52" t="inlineStr">
        <is>
          <t>VERIFY BEFORE USE</t>
        </is>
      </c>
    </row>
    <row r="10" ht="31.5" customHeight="1" s="36">
      <c r="A10" s="43" t="inlineStr">
        <is>
          <t>Quality Prediction in a Mining Process (froth flotation)</t>
        </is>
      </c>
      <c r="B10" s="67" t="inlineStr">
        <is>
          <t>B</t>
        </is>
      </c>
      <c r="C10" s="44" t="inlineStr">
        <is>
          <t>Kaggle - edumagalhaes/quality-prediction-in-a-mining-process</t>
        </is>
      </c>
      <c r="D10" s="44" t="inlineStr">
        <is>
          <t>Check the Kaggle dataset page</t>
        </is>
      </c>
      <c r="E10" s="44" t="inlineStr">
        <is>
          <t>~737,453 rows x 24 cols - MUST BE SUBSET to ~20,000 for teaching</t>
        </is>
      </c>
      <c r="F10" s="44" t="inlineStr">
        <is>
          <t>Regression - % silica in concentrate</t>
        </is>
      </c>
      <c r="G10" s="67" t="inlineStr">
        <is>
          <t>1, 5, 6, 8, 11</t>
        </is>
      </c>
      <c r="H10" s="44" t="inlineStr">
        <is>
          <t>VERIFIED 2026-09-01</t>
        </is>
      </c>
    </row>
    <row r="11" ht="31.5" customHeight="1" s="36">
      <c r="A11" s="43" t="inlineStr">
        <is>
          <t>FORCE 2020 well logs (lithology)</t>
        </is>
      </c>
      <c r="B11" s="67" t="inlineStr">
        <is>
          <t>B</t>
        </is>
      </c>
      <c r="C11" s="44" t="inlineStr">
        <is>
          <t>GitHub - bolgebrygg/Force-2020-Machine-Learning-competition</t>
        </is>
      </c>
      <c r="D11" s="44" t="inlineStr">
        <is>
          <t>Labels CC BY 4.0; log data NLOD 2.0</t>
        </is>
      </c>
      <c r="E11" s="44" t="inlineStr">
        <is>
          <t>118 wells - REDUCE to 3 wells for teaching</t>
        </is>
      </c>
      <c r="F11" s="44" t="inlineStr">
        <is>
          <t>Multi-class classification - lithofacies</t>
        </is>
      </c>
      <c r="G11" s="67" t="inlineStr">
        <is>
          <t>5, 9, 11, 12</t>
        </is>
      </c>
      <c r="H11" s="44" t="inlineStr">
        <is>
          <t>VERIFIED 2026-09-01</t>
        </is>
      </c>
    </row>
    <row r="12" ht="31.5" customHeight="1" s="36">
      <c r="A12" s="51" t="inlineStr">
        <is>
          <t>Volve field production data</t>
        </is>
      </c>
      <c r="B12" s="68" t="inlineStr">
        <is>
          <t>B</t>
        </is>
      </c>
      <c r="C12" s="52" t="inlineStr">
        <is>
          <t>Equinor open data</t>
        </is>
      </c>
      <c r="D12" s="52" t="inlineStr">
        <is>
          <t>Equinor open licence - read carefully</t>
        </is>
      </c>
      <c r="E12" s="52" t="inlineStr">
        <is>
          <t>Large</t>
        </is>
      </c>
      <c r="F12" s="52" t="inlineStr">
        <is>
          <t>Regression / time series</t>
        </is>
      </c>
      <c r="G12" s="68" t="inlineStr">
        <is>
          <t>Project pool; Semester 2</t>
        </is>
      </c>
      <c r="H12" s="52" t="inlineStr">
        <is>
          <t>VERIFY BEFORE USE</t>
        </is>
      </c>
    </row>
    <row r="13" ht="31.5" customHeight="1" s="36">
      <c r="A13" s="43" t="inlineStr">
        <is>
          <t>Combined Cycle Power Plant</t>
        </is>
      </c>
      <c r="B13" s="67" t="inlineStr">
        <is>
          <t>C</t>
        </is>
      </c>
      <c r="C13" s="44" t="inlineStr">
        <is>
          <t>UCI ML Repository, dataset 294</t>
        </is>
      </c>
      <c r="D13" s="44" t="inlineStr">
        <is>
          <t>CC BY 4.0 (confirm on page)</t>
        </is>
      </c>
      <c r="E13" s="44" t="inlineStr">
        <is>
          <t>9,568 rows x 4 features</t>
        </is>
      </c>
      <c r="F13" s="44" t="inlineStr">
        <is>
          <t>Regression - power output in MW</t>
        </is>
      </c>
      <c r="G13" s="67" t="inlineStr">
        <is>
          <t>1, 5, 6, 8, 11</t>
        </is>
      </c>
      <c r="H13" s="44" t="inlineStr">
        <is>
          <t>VERIFIED 2026-09-01</t>
        </is>
      </c>
    </row>
    <row r="14" ht="31.5" customHeight="1" s="36">
      <c r="A14" s="43" t="inlineStr">
        <is>
          <t>Steel Plates Faults</t>
        </is>
      </c>
      <c r="B14" s="67" t="inlineStr">
        <is>
          <t>C</t>
        </is>
      </c>
      <c r="C14" s="44" t="inlineStr">
        <is>
          <t>UCI ML Repository, dataset 198 (doi 10.24432/C5J88N)</t>
        </is>
      </c>
      <c r="D14" s="44" t="inlineStr">
        <is>
          <t>CC BY 4.0</t>
        </is>
      </c>
      <c r="E14" s="44" t="inlineStr">
        <is>
          <t>1,941 rows x 27 features, 7 classes</t>
        </is>
      </c>
      <c r="F14" s="44" t="inlineStr">
        <is>
          <t>Multi-class classification - defect type</t>
        </is>
      </c>
      <c r="G14" s="67" t="inlineStr">
        <is>
          <t>7, 9, 12</t>
        </is>
      </c>
      <c r="H14" s="44" t="inlineStr">
        <is>
          <t>VERIFIED 2026-09-01</t>
        </is>
      </c>
    </row>
    <row r="15" ht="31.5" customHeight="1" s="36">
      <c r="A15" s="51" t="inlineStr">
        <is>
          <t>Individual Household Electric Power Consumption</t>
        </is>
      </c>
      <c r="B15" s="68" t="inlineStr">
        <is>
          <t>C</t>
        </is>
      </c>
      <c r="C15" s="52" t="inlineStr">
        <is>
          <t>UCI ML Repository, dataset 235</t>
        </is>
      </c>
      <c r="D15" s="52" t="inlineStr">
        <is>
          <t>Check on the dataset page</t>
        </is>
      </c>
      <c r="E15" s="52" t="inlineStr">
        <is>
          <t>~2,075,259 rows - subset required</t>
        </is>
      </c>
      <c r="F15" s="52" t="inlineStr">
        <is>
          <t>Time series / forecasting</t>
        </is>
      </c>
      <c r="G15" s="68" t="inlineStr">
        <is>
          <t>Semester 2</t>
        </is>
      </c>
      <c r="H15" s="52" t="inlineStr">
        <is>
          <t>VERIFY BEFORE USE</t>
        </is>
      </c>
    </row>
    <row r="16" ht="31.5" customHeight="1" s="36">
      <c r="A16" s="51" t="inlineStr">
        <is>
          <t>Electrical Grid Stability Simulated Data</t>
        </is>
      </c>
      <c r="B16" s="68" t="inlineStr">
        <is>
          <t>C</t>
        </is>
      </c>
      <c r="C16" s="52" t="inlineStr">
        <is>
          <t>UCI ML Repository, dataset 471</t>
        </is>
      </c>
      <c r="D16" s="52" t="inlineStr">
        <is>
          <t>Check on the dataset page</t>
        </is>
      </c>
      <c r="E16" s="52" t="inlineStr">
        <is>
          <t>~10,000 rows</t>
        </is>
      </c>
      <c r="F16" s="52" t="inlineStr">
        <is>
          <t>Classification</t>
        </is>
      </c>
      <c r="G16" s="68" t="inlineStr">
        <is>
          <t>Project pool</t>
        </is>
      </c>
      <c r="H16" s="52" t="inlineStr">
        <is>
          <t>VERIFY BEFORE USE</t>
        </is>
      </c>
    </row>
    <row r="17" ht="31.5" customHeight="1" s="36">
      <c r="A17" s="43" t="inlineStr">
        <is>
          <t>AI4I 2020 Predictive Maintenance</t>
        </is>
      </c>
      <c r="B17" s="67" t="inlineStr">
        <is>
          <t>A, B, C</t>
        </is>
      </c>
      <c r="C17" s="44" t="inlineStr">
        <is>
          <t>UCI ML Repository, dataset 601 (doi 10.24432/C5HS5C)</t>
        </is>
      </c>
      <c r="D17" s="44" t="inlineStr">
        <is>
          <t>CC BY 4.0</t>
        </is>
      </c>
      <c r="E17" s="44" t="inlineStr">
        <is>
          <t>10,000 rows x 14 cols, 3.4% failure rate</t>
        </is>
      </c>
      <c r="F17" s="44" t="inlineStr">
        <is>
          <t>Classification - machine failure (naturally imbalanced)</t>
        </is>
      </c>
      <c r="G17" s="67" t="inlineStr">
        <is>
          <t>9 (all cohorts); 1 &amp; 5 &amp; 11 for C</t>
        </is>
      </c>
      <c r="H17" s="44" t="inlineStr">
        <is>
          <t>VERIFIED 2026-09-01</t>
        </is>
      </c>
    </row>
    <row r="18" ht="31.5" customHeight="1" s="36">
      <c r="A18" s="43" t="inlineStr">
        <is>
          <t>MetroPT-3</t>
        </is>
      </c>
      <c r="B18" s="67" t="inlineStr">
        <is>
          <t>B, C</t>
        </is>
      </c>
      <c r="C18" s="44" t="inlineStr">
        <is>
          <t>UCI ML Repository, dataset 791</t>
        </is>
      </c>
      <c r="D18" s="44" t="inlineStr">
        <is>
          <t>CC BY 4.0 (confirm on page)</t>
        </is>
      </c>
      <c r="E18" s="44" t="inlineStr">
        <is>
          <t>1,516,948 rows x 15 features - subset required</t>
        </is>
      </c>
      <c r="F18" s="44" t="inlineStr">
        <is>
          <t>Anomaly detection / predictive maintenance, real sensor time series</t>
        </is>
      </c>
      <c r="G18" s="67" t="inlineStr">
        <is>
          <t>12; Semester 2 core</t>
        </is>
      </c>
      <c r="H18" s="44" t="inlineStr">
        <is>
          <t>VERIFIED 2026-09-01</t>
        </is>
      </c>
    </row>
    <row r="19" ht="31.5" customHeight="1" s="36">
      <c r="A19" s="53" t="inlineStr">
        <is>
          <t>COURSE-AUTHORED: Investigation Lab file (~300 rows)</t>
        </is>
      </c>
      <c r="B19" s="69" t="inlineStr">
        <is>
          <t>A, B, C</t>
        </is>
      </c>
      <c r="C19" s="54" t="inlineStr">
        <is>
          <t>To be authored by the lecturer</t>
        </is>
      </c>
      <c r="D19" s="54" t="inlineStr">
        <is>
          <t>Course material</t>
        </is>
      </c>
      <c r="E19" s="54" t="inlineStr">
        <is>
          <t>~300 rows</t>
        </is>
      </c>
      <c r="F19" s="54" t="inlineStr">
        <is>
          <t>Open investigation - one planted finding, two red herrings</t>
        </is>
      </c>
      <c r="G19" s="69" t="inlineStr">
        <is>
          <t>4</t>
        </is>
      </c>
      <c r="H19" s="54" t="inlineStr">
        <is>
          <t>TO BE BUILT - Week 4 prep</t>
        </is>
      </c>
    </row>
    <row r="20" ht="31.5" customHeight="1" s="36">
      <c r="A20" s="53" t="inlineStr">
        <is>
          <t>COURSE-AUTHORED: damaged dataset + defect key</t>
        </is>
      </c>
      <c r="B20" s="69" t="inlineStr">
        <is>
          <t>A, B, C</t>
        </is>
      </c>
      <c r="C20" s="54" t="inlineStr">
        <is>
          <t>To be authored by the lecturer</t>
        </is>
      </c>
      <c r="D20" s="54" t="inlineStr">
        <is>
          <t>Course material</t>
        </is>
      </c>
      <c r="E20" s="54" t="inlineStr">
        <is>
          <t>Derived from the anchor dataset</t>
        </is>
      </c>
      <c r="F20" s="54" t="inlineStr">
        <is>
          <t>Cleaning practice - 6 planted defects, 2 arguable extremes</t>
        </is>
      </c>
      <c r="G20" s="69" t="inlineStr">
        <is>
          <t>6</t>
        </is>
      </c>
      <c r="H20" s="54" t="inlineStr">
        <is>
          <t>TO BE BUILT - Week 6 prep</t>
        </is>
      </c>
    </row>
    <row r="21" ht="31.5" customHeight="1" s="36">
      <c r="A21" s="53" t="inlineStr">
        <is>
          <t>COURSE-AUTHORED: 'Too Good To Be True' notebooks x3</t>
        </is>
      </c>
      <c r="B21" s="69" t="inlineStr">
        <is>
          <t>A, B, C</t>
        </is>
      </c>
      <c r="C21" s="54" t="inlineStr">
        <is>
          <t>To be authored by the lecturer</t>
        </is>
      </c>
      <c r="D21" s="54" t="inlineStr">
        <is>
          <t>Course material</t>
        </is>
      </c>
      <c r="E21" s="54" t="inlineStr">
        <is>
          <t>3 notebooks per cohort</t>
        </is>
      </c>
      <c r="F21" s="54" t="inlineStr">
        <is>
          <t>Leakage diagnosis - 3 different planted causes</t>
        </is>
      </c>
      <c r="G21" s="69" t="inlineStr">
        <is>
          <t>10</t>
        </is>
      </c>
      <c r="H21" s="54" t="inlineStr">
        <is>
          <t>TO BE BUILT - Week 10 prep</t>
        </is>
      </c>
    </row>
    <row r="22" ht="31.5" customHeight="1" s="36">
      <c r="A22" s="53" t="inlineStr">
        <is>
          <t>COURSE-AUTHORED: Test 1 variants x3</t>
        </is>
      </c>
      <c r="B22" s="69" t="inlineStr">
        <is>
          <t>A, B, C</t>
        </is>
      </c>
      <c r="C22" s="54" t="inlineStr">
        <is>
          <t>To be authored by the lecturer</t>
        </is>
      </c>
      <c r="D22" s="54" t="inlineStr">
        <is>
          <t>Course material - secure</t>
        </is>
      </c>
      <c r="E22" s="54" t="inlineStr">
        <is>
          <t>Matched for difficulty</t>
        </is>
      </c>
      <c r="F22" s="54" t="inlineStr">
        <is>
          <t>Practical Test 1</t>
        </is>
      </c>
      <c r="G22" s="69" t="inlineStr">
        <is>
          <t>7</t>
        </is>
      </c>
      <c r="H22" s="54" t="inlineStr">
        <is>
          <t>TO BE BUILT - by Week 5</t>
        </is>
      </c>
    </row>
    <row r="23" ht="31.5" customHeight="1" s="36">
      <c r="A23" s="53" t="inlineStr">
        <is>
          <t>COURSE-AUTHORED: Test 2 variants x3</t>
        </is>
      </c>
      <c r="B23" s="69" t="inlineStr">
        <is>
          <t>A, B, C</t>
        </is>
      </c>
      <c r="C23" s="54" t="inlineStr">
        <is>
          <t>To be authored by the lecturer</t>
        </is>
      </c>
      <c r="D23" s="54" t="inlineStr">
        <is>
          <t>Course material - secure</t>
        </is>
      </c>
      <c r="E23" s="54" t="inlineStr">
        <is>
          <t>Matched for difficulty</t>
        </is>
      </c>
      <c r="F23" s="54" t="inlineStr">
        <is>
          <t>Practical Test 2</t>
        </is>
      </c>
      <c r="G23" s="69" t="inlineStr">
        <is>
          <t>14</t>
        </is>
      </c>
      <c r="H23" s="54" t="inlineStr">
        <is>
          <t>TO BE BUILT - by Week 12</t>
        </is>
      </c>
    </row>
    <row r="24"/>
    <row r="25" ht="43.5" customHeight="1" s="36">
      <c r="A25" s="56" t="inlineStr">
        <is>
          <t>Status key:  green = existence and licence confirmed 1 Sep 2026 ·  amber = named from knowledge, NOT confirmed, verify before use ·  red = course material that does not exist yet and must be authored, with the week it is needed. The red rows are the real preparation workload of this semester and should be scheduled now.</t>
        </is>
      </c>
    </row>
  </sheetData>
  <mergeCells count="3">
    <mergeCell ref="A25:H25"/>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00B05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customHeight="0" zeroHeight="0" outlineLevelRow="0"/>
  <cols>
    <col width="26" customWidth="1" style="35" min="1" max="1"/>
    <col width="50" customWidth="1" style="35" min="2" max="2"/>
    <col width="44" customWidth="1" style="35" min="3" max="3"/>
    <col width="22" customWidth="1" style="35" min="4" max="4"/>
    <col width="56" customWidth="1" style="35" min="5" max="5"/>
    <col width="76" customWidth="1" style="35" min="6" max="6"/>
  </cols>
  <sheetData>
    <row r="1" ht="25.5" customHeight="1" s="36">
      <c r="A1" s="37" t="inlineStr">
        <is>
          <t>Assessment technology stack — five layers, all free</t>
        </is>
      </c>
    </row>
    <row r="2" ht="18" customHeight="1" s="36">
      <c r="A2" s="38" t="inlineStr">
        <is>
          <t>Built and tested. The working code is in the assessment-tools folder alongside this workbook.</t>
        </is>
      </c>
    </row>
    <row r="3"/>
    <row r="4" ht="31.5" customHeight="1" s="36">
      <c r="A4" s="42" t="inlineStr">
        <is>
          <t>Layer</t>
        </is>
      </c>
      <c r="B4" s="42" t="inlineStr">
        <is>
          <t>Purpose</t>
        </is>
      </c>
      <c r="C4" s="42" t="inlineStr">
        <is>
          <t>Tool</t>
        </is>
      </c>
      <c r="D4" s="42" t="inlineStr">
        <is>
          <t>Cost</t>
        </is>
      </c>
      <c r="E4" s="42" t="inlineStr">
        <is>
          <t>What it removes</t>
        </is>
      </c>
      <c r="F4" s="42" t="inlineStr">
        <is>
          <t>Verified limits and cautions</t>
        </is>
      </c>
    </row>
    <row r="5" ht="109.5" customHeight="1" s="36">
      <c r="A5" s="46" t="inlineStr">
        <is>
          <t>Layer A - Weekly quizzes</t>
        </is>
      </c>
      <c r="B5" s="47" t="inlineStr">
        <is>
          <t>Five questions; automated score and teaching feedback.</t>
        </is>
      </c>
      <c r="C5" s="47" t="inlineStr">
        <is>
          <t>Google Forms quizzes + gradebook.gs</t>
        </is>
      </c>
      <c r="D5" s="47" t="inlineStr">
        <is>
          <t>Google account quotas apply</t>
        </is>
      </c>
      <c r="E5" s="47" t="inlineStr">
        <is>
          <t>No per-response arithmetic marking.</t>
        </is>
      </c>
      <c r="F5" s="47" t="inlineStr">
        <is>
          <t>Five-minute classroom target; existing 24-hour availability window. Server timestamps enforce the shared close time. Sign-in and roster matching support deduplication.</t>
        </is>
      </c>
    </row>
    <row r="6" ht="109.5" customHeight="1" s="36">
      <c r="A6" s="48" t="inlineStr">
        <is>
          <t>Layer B - Notebook grading</t>
        </is>
      </c>
      <c r="B6" s="49" t="inlineStr">
        <is>
          <t>Run all submitted notebooks against independent task-specific checks.</t>
        </is>
      </c>
      <c r="C6" s="49" t="inlineStr">
        <is>
          <t>grader/batch_grade.py; restricted Docker worker</t>
        </is>
      </c>
      <c r="D6" s="49" t="inlineStr">
        <is>
          <t>Local Docker image and Python requirements</t>
        </is>
      </c>
      <c r="E6" s="49" t="inlineStr">
        <is>
          <t>Automates numerical and function checks for W02-W05.</t>
        </is>
      </c>
      <c r="F6" s="49" t="inlineStr">
        <is>
          <t>Prebuild the image. Hidden checks remain on the host. Never use practice receipts or a sample as final marks.</t>
        </is>
      </c>
    </row>
    <row r="7" ht="109.5" customHeight="1" s="36">
      <c r="A7" s="46" t="inlineStr">
        <is>
          <t>Layer C - Reasoning and practical tests</t>
        </is>
      </c>
      <c r="B7" s="47" t="inlineStr">
        <is>
          <t>Use deterministic checks for code and a calibrated local rubric for reasoning.</t>
        </is>
      </c>
      <c r="C7" s="47" t="inlineStr">
        <is>
          <t>grader/artifact_grade.py; Ollama on loopback</t>
        </is>
      </c>
      <c r="D7" s="47" t="inlineStr">
        <is>
          <t>Local model storage, memory and execution time</t>
        </is>
      </c>
      <c r="E7" s="47" t="inlineStr">
        <is>
          <t>Removes routine reading when calibration supports automatic scoring.</t>
        </is>
      </c>
      <c r="F7" s="47" t="inlineStr">
        <is>
          <t>W02 combines 14 deterministic marks and 6 rubric marks. Exam-specific tasks and checks must be finalized before the test. Exceptions remain blank until resolved.</t>
        </is>
      </c>
    </row>
    <row r="8" ht="109.5" customHeight="1" s="36">
      <c r="A8" s="48" t="inlineStr">
        <is>
          <t>Layer D - Gradebook</t>
        </is>
      </c>
      <c r="B8" s="49" t="inlineStr">
        <is>
          <t>Match student registration numbers, calculate weights, apply best-of rules and flag missing work.</t>
        </is>
      </c>
      <c r="C8" s="49" t="inlineStr">
        <is>
          <t>grader/gradebook.gs</t>
        </is>
      </c>
      <c r="D8" s="49" t="inlineStr">
        <is>
          <t>Google Sheets quotas apply</t>
        </is>
      </c>
      <c r="E8" s="49" t="inlineStr">
        <is>
          <t>Imports authoritative marks without row-order copy/paste.</t>
        </is>
      </c>
      <c r="F8" s="49" t="inlineStr">
        <is>
          <t>Invalid marks, unknown IDs and unresolved statuses are rejected before writing. Faculty grade bands remain unconfigured.</t>
        </is>
      </c>
    </row>
    <row r="9" ht="109.5" customHeight="1" s="36">
      <c r="A9" s="46" t="inlineStr">
        <is>
          <t>Layer E - Submission collection</t>
        </is>
      </c>
      <c r="B9" s="47" t="inlineStr">
        <is>
          <t>Collect notebook, report and slide uploads within dated windows.</t>
        </is>
      </c>
      <c r="C9" s="47" t="inlineStr">
        <is>
          <t>grader/submission_forms.gs; prepare_submissions.py</t>
        </is>
      </c>
      <c r="D9" s="47" t="inlineStr">
        <is>
          <t>Owner Drive storage and Google sign-in required</t>
        </is>
      </c>
      <c r="E9" s="47" t="inlineStr">
        <is>
          <t>Selects the latest on-time response and exports files for local grading.</t>
        </is>
      </c>
      <c r="F9" s="47" t="inlineStr">
        <is>
          <t>One upload template is made in Forms UI. All 52 forms are resumable; DA windows remain closed until dates are supplied. Trigger delays cannot make a late response eligible.</t>
        </is>
      </c>
    </row>
    <row r="10" ht="109.5" customHeight="1" s="36">
      <c r="A10" s="48" t="inlineStr">
        <is>
          <t>Independent DA track</t>
        </is>
      </c>
      <c r="B10" s="49" t="inlineStr">
        <is>
          <t>Grade the SQL checkpoint and report/presentation evidence separately.</t>
        </is>
      </c>
      <c r="C10" s="49" t="inlineStr">
        <is>
          <t>grader/da_sql_grade.py and local rubric grader</t>
        </is>
      </c>
      <c r="D10" s="49" t="inlineStr">
        <is>
          <t>Local processing</t>
        </is>
      </c>
      <c r="E10" s="49" t="inlineStr">
        <is>
          <t>SQL amounts and report grain are checked against Riverside.</t>
        </is>
      </c>
      <c r="F10" s="49" t="inlineStr">
        <is>
          <t>Keep DA grades separate from IUEA. Text extraction does not assess visual layout or interactive dashboard behaviour.</t>
        </is>
      </c>
    </row>
    <row r="11"/>
    <row r="12" ht="45.75" customHeight="1" s="36">
      <c r="A12" s="56" t="inlineStr">
        <is>
          <t>Automatic grading is central to this one-teacher design. Execute numerical work independently and use calibrated local models for supported reasoning evidence. Validate chart, repository and presentation criteria separately. A draft assessment stays held until its complete evidence route passes; do not substitute an unsupported automatic mark or promise a fixed manual-marking workload.</t>
        </is>
      </c>
    </row>
  </sheetData>
  <mergeCells count="3">
    <mergeCell ref="A2:F2"/>
    <mergeCell ref="A1:F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ED7D31"/>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customHeight="0" zeroHeight="0" outlineLevelRow="0"/>
  <cols>
    <col width="40" customWidth="1" style="35" min="1" max="1"/>
    <col width="30" customWidth="1" style="35" min="2" max="2"/>
    <col width="12" customWidth="1" style="35" min="3" max="3"/>
    <col width="18" customWidth="1" style="35" min="4" max="5"/>
    <col width="76" customWidth="1" style="35" min="6" max="6"/>
  </cols>
  <sheetData>
    <row r="1" ht="25.5" customHeight="1" s="36">
      <c r="A1" s="37" t="inlineStr">
        <is>
          <t>Marking load — fully human versus the auto-graded stack</t>
        </is>
      </c>
    </row>
    <row r="2" ht="18" customHeight="1" s="36">
      <c r="A2" s="38" t="inlineStr">
        <is>
          <t>Per semester, at ~195 students and 43 teams. This is the answer to 'can one lecturer assess 195 students?'</t>
        </is>
      </c>
    </row>
    <row r="3"/>
    <row r="4" ht="31.5" customHeight="1" s="36">
      <c r="A4" s="42" t="inlineStr">
        <is>
          <t>Item</t>
        </is>
      </c>
      <c r="B4" s="42" t="inlineStr">
        <is>
          <t>Volume</t>
        </is>
      </c>
      <c r="C4" s="42" t="inlineStr">
        <is>
          <t>Min. each</t>
        </is>
      </c>
      <c r="D4" s="42" t="inlineStr">
        <is>
          <t>Hours if all human</t>
        </is>
      </c>
      <c r="E4" s="42" t="inlineStr">
        <is>
          <t>Hours with the stack</t>
        </is>
      </c>
      <c r="F4" s="42" t="inlineStr">
        <is>
          <t>How the saving is made</t>
        </is>
      </c>
    </row>
    <row r="5" ht="33.75" customHeight="1" s="36">
      <c r="A5" s="46" t="inlineStr">
        <is>
          <t>Weekly practical challenges</t>
        </is>
      </c>
      <c r="B5" s="47" t="inlineStr">
        <is>
          <t>11 x ~195</t>
        </is>
      </c>
      <c r="C5" s="65" t="inlineStr">
        <is>
          <t>3</t>
        </is>
      </c>
      <c r="D5" s="65" t="n">
        <v>107</v>
      </c>
      <c r="E5" s="65" t="n"/>
      <c r="F5" s="47" t="inlineStr">
        <is>
          <t>Batch execution; measure exceptions during the pilot.</t>
        </is>
      </c>
    </row>
    <row r="6" ht="33.75" customHeight="1" s="36">
      <c r="A6" s="48" t="inlineStr">
        <is>
          <t>Weekly quizzes</t>
        </is>
      </c>
      <c r="B6" s="49" t="inlineStr">
        <is>
          <t>12 x ~195</t>
        </is>
      </c>
      <c r="C6" s="66" t="inlineStr">
        <is>
          <t>0</t>
        </is>
      </c>
      <c r="D6" s="66" t="n">
        <v>0</v>
      </c>
      <c r="E6" s="66" t="n">
        <v>0</v>
      </c>
      <c r="F6" s="49" t="inlineStr">
        <is>
          <t>Forms scores automatically; setup and support time remain.</t>
        </is>
      </c>
    </row>
    <row r="7" ht="33.75" customHeight="1" s="36">
      <c r="A7" s="46" t="inlineStr">
        <is>
          <t>Practical Test 1</t>
        </is>
      </c>
      <c r="B7" s="47" t="inlineStr">
        <is>
          <t>~195 scripts</t>
        </is>
      </c>
      <c r="C7" s="65" t="inlineStr">
        <is>
          <t>8</t>
        </is>
      </c>
      <c r="D7" s="65" t="n">
        <v>26</v>
      </c>
      <c r="E7" s="65" t="n"/>
      <c r="F7" s="47" t="inlineStr">
        <is>
          <t>Finalize deterministic tasks and local reasoning calibration.</t>
        </is>
      </c>
    </row>
    <row r="8" ht="33.75" customHeight="1" s="36">
      <c r="A8" s="48" t="inlineStr">
        <is>
          <t>Practical Test 2</t>
        </is>
      </c>
      <c r="B8" s="49" t="inlineStr">
        <is>
          <t>~195 scripts</t>
        </is>
      </c>
      <c r="C8" s="66" t="inlineStr">
        <is>
          <t>8</t>
        </is>
      </c>
      <c r="D8" s="66" t="n">
        <v>26</v>
      </c>
      <c r="E8" s="66" t="n"/>
      <c r="F8" s="49" t="inlineStr">
        <is>
          <t>Finalize deterministic pipeline checks and reasoning calibration.</t>
        </is>
      </c>
    </row>
    <row r="9" ht="33.75" customHeight="1" s="36">
      <c r="A9" s="46" t="inlineStr">
        <is>
          <t>Data Analysis Project</t>
        </is>
      </c>
      <c r="B9" s="47" t="inlineStr">
        <is>
          <t>43 teams</t>
        </is>
      </c>
      <c r="C9" s="65" t="inlineStr">
        <is>
          <t>25</t>
        </is>
      </c>
      <c r="D9" s="65" t="n">
        <v>18</v>
      </c>
      <c r="E9" s="65" t="n"/>
      <c r="F9" s="47" t="inlineStr">
        <is>
          <t>Local rubric evidence; pilot against representative reports.</t>
        </is>
      </c>
    </row>
    <row r="10" ht="33.75" customHeight="1" s="36">
      <c r="A10" s="48" t="inlineStr">
        <is>
          <t>Engineering ML Project + milestones</t>
        </is>
      </c>
      <c r="B10" s="49" t="inlineStr">
        <is>
          <t>43 teams</t>
        </is>
      </c>
      <c r="C10" s="66" t="inlineStr">
        <is>
          <t>60</t>
        </is>
      </c>
      <c r="D10" s="66" t="n">
        <v>43</v>
      </c>
      <c r="E10" s="66" t="n"/>
      <c r="F10" s="49" t="inlineStr">
        <is>
          <t>Deterministic execution and calibrated rubric assessment.</t>
        </is>
      </c>
    </row>
    <row r="11" ht="33.75" customHeight="1" s="36">
      <c r="A11" s="46" t="inlineStr">
        <is>
          <t>Demo and reflection</t>
        </is>
      </c>
      <c r="B11" s="47" t="inlineStr">
        <is>
          <t>~195 students</t>
        </is>
      </c>
      <c r="C11" s="65" t="inlineStr">
        <is>
          <t>5</t>
        </is>
      </c>
      <c r="D11" s="65" t="n">
        <v>16</v>
      </c>
      <c r="E11" s="65" t="n"/>
      <c r="F11" s="47" t="inlineStr">
        <is>
          <t>Submitted slides and notes; selected live demonstrations for discussion.</t>
        </is>
      </c>
    </row>
    <row r="12" ht="33.75" customHeight="1" s="36">
      <c r="A12" s="48" t="inlineStr">
        <is>
          <t>Gradebook reconciliation</t>
        </is>
      </c>
      <c r="B12" s="49" t="inlineStr">
        <is>
          <t>3 cohorts</t>
        </is>
      </c>
      <c r="C12" s="66" t="inlineStr">
        <is>
          <t>-</t>
        </is>
      </c>
      <c r="D12" s="66" t="n">
        <v>10</v>
      </c>
      <c r="E12" s="66" t="n"/>
      <c r="F12" s="49" t="inlineStr">
        <is>
          <t>ID-based imports; measure exception handling.</t>
        </is>
      </c>
    </row>
    <row r="13" ht="19.5" customHeight="1" s="36">
      <c r="A13" s="59" t="inlineStr">
        <is>
          <t>TOTAL (hours per semester)</t>
        </is>
      </c>
      <c r="B13" s="60" t="n"/>
      <c r="C13" s="60" t="n"/>
      <c r="D13" s="59">
        <f>SUM(D5:D12)</f>
        <v/>
      </c>
      <c r="E13" s="59">
        <f>IF(COUNT(E5:E12)=ROWS(E5:E12),SUM(E5:E12),"Pilot pending")</f>
        <v/>
      </c>
      <c r="F13" s="60" t="inlineStr">
        <is>
          <t>Blank estimates require measurement during the pilot.</t>
        </is>
      </c>
    </row>
    <row r="14" ht="19.5" customHeight="1" s="36">
      <c r="A14" s="43" t="inlineStr">
        <is>
          <t>Hours saved per semester</t>
        </is>
      </c>
      <c r="B14" s="44" t="n"/>
      <c r="C14" s="44" t="n"/>
      <c r="D14" s="44" t="n"/>
      <c r="E14" s="43">
        <f>IF(ISNUMBER(E13),D13-E13,"Pilot pending")</f>
        <v/>
      </c>
      <c r="F14" s="44" t="inlineStr">
        <is>
          <t>Earlier fixed savings estimates were not measured.</t>
        </is>
      </c>
    </row>
    <row r="15"/>
    <row r="16" ht="31.5" customHeight="1" s="36">
      <c r="A16" s="45" t="inlineStr">
        <is>
          <t>ONE-OFF AUTHORING COST: Measure authoring, calibration and exception handling during the pilot. Earlier fixed savings estimates were unverified.</t>
        </is>
      </c>
    </row>
    <row r="17"/>
    <row r="18" ht="61.5" customHeight="1" s="36">
      <c r="A18" s="41" t="inlineStr">
        <is>
          <t>Before values are illustrative workload estimates. Blank after values are deliberately unestimated. Measure successful automatic scoring, retries, access support and substantive exceptions in the pilot. The design aims to avoid routine manual marking; no fixed saving is promised before calibration.</t>
        </is>
      </c>
    </row>
  </sheetData>
  <mergeCells count="4">
    <mergeCell ref="A2:F2"/>
    <mergeCell ref="A16:F16"/>
    <mergeCell ref="A1:F1"/>
    <mergeCell ref="A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C00000"/>
    <outlinePr summaryBelow="1" summaryRight="1"/>
    <pageSetUpPr fitToPage="0"/>
  </sheetPr>
  <dimension ref="A1:F22"/>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62" customWidth="1" style="35" min="2" max="2"/>
    <col width="14" customWidth="1" style="35" min="3" max="3"/>
    <col width="12" customWidth="1" style="35" min="4" max="4"/>
    <col width="96" customWidth="1" style="35" min="5" max="5"/>
    <col width="26" customWidth="1" style="35" min="6" max="6"/>
  </cols>
  <sheetData>
    <row r="1" ht="25.5" customHeight="1" s="36">
      <c r="A1" s="37" t="inlineStr">
        <is>
          <t>Risk register</t>
        </is>
      </c>
    </row>
    <row r="2" ht="18" customHeight="1" s="36">
      <c r="A2" s="38" t="inlineStr">
        <is>
          <t>18 delivery risks. R1, R2 and R3 require action in the first fortnight.</t>
        </is>
      </c>
    </row>
    <row r="3"/>
    <row r="4" ht="31.5" customHeight="1" s="36">
      <c r="A4" s="42" t="inlineStr">
        <is>
          <t>ID</t>
        </is>
      </c>
      <c r="B4" s="42" t="inlineStr">
        <is>
          <t>Risk</t>
        </is>
      </c>
      <c r="C4" s="42" t="inlineStr">
        <is>
          <t>Likelihood</t>
        </is>
      </c>
      <c r="D4" s="42" t="inlineStr">
        <is>
          <t>Impact</t>
        </is>
      </c>
      <c r="E4" s="42" t="inlineStr">
        <is>
          <t>Mitigation</t>
        </is>
      </c>
      <c r="F4" s="42" t="inlineStr">
        <is>
          <t>Owner</t>
        </is>
      </c>
    </row>
    <row r="5" ht="84" customHeight="1" s="36">
      <c r="A5" s="53" t="inlineStr">
        <is>
          <t>R1</t>
        </is>
      </c>
      <c r="B5" s="54" t="inlineStr">
        <is>
          <t>Fri 09 Oct 2026 is Uganda Independence Day. CML3113 (Fri 08:00, Room 105) and CML3111 (Fri 11:00, Room 115) both lose their Week 5 session - the single most important pandas session of the semester. CML3112 (Tue, Room 106) is unaffected.</t>
        </is>
      </c>
      <c r="C5" s="69" t="inlineStr">
        <is>
          <t>Certain</t>
        </is>
      </c>
      <c r="D5" s="69" t="inlineStr">
        <is>
          <t>High</t>
        </is>
      </c>
      <c r="E5" s="54" t="inlineStr">
        <is>
          <t>Teach Week 5 to CML3112 on Tue 06 Oct as normal, and RECORD it - you then have a recording of the actual session rather than a generic one. Publish it plus the Twelve Questions notebook to CML3113 and CML3111 by Wed 07 Oct, hold a 45-minute online clinic that week, and open Week 6 with a 30-minute consolidation for the two Friday cohorts only. Alternatively secure a Faculty-approved make-up slot. Decide by Week 2 - not Week 4.</t>
        </is>
      </c>
      <c r="F5" s="54" t="inlineStr">
        <is>
          <t>Lecturer + Faculty timetabling</t>
        </is>
      </c>
    </row>
    <row r="6" ht="72" customHeight="1" s="36">
      <c r="A6" s="51" t="inlineStr">
        <is>
          <t>R16</t>
        </is>
      </c>
      <c r="B6" s="52" t="inlineStr">
        <is>
          <t>Friday has back-to-back three-hour sessions in different rooms, with no scheduled transition time.</t>
        </is>
      </c>
      <c r="C6" s="68" t="inlineStr">
        <is>
          <t>Certain</t>
        </is>
      </c>
      <c r="D6" s="68" t="inlineStr">
        <is>
          <t>Medium</t>
        </is>
      </c>
      <c r="E6" s="52" t="inlineStr">
        <is>
          <t>Prepare the shared teaching core once, then adapt the dataset and engineering framing for each cohort. Arrange room setup before teaching or with support; do not leave a practical unsupervised to set up another room. Protect both cohorts' scheduled teaching time and learning outcomes. If a disruption affects either session, provide equivalent recovery practice or a make-up slot before the related assessment.</t>
        </is>
      </c>
      <c r="F6" s="52" t="inlineStr">
        <is>
          <t>Lecturer</t>
        </is>
      </c>
    </row>
    <row r="7" ht="72" customHeight="1" s="36">
      <c r="A7" s="53" t="inlineStr">
        <is>
          <t>R17</t>
        </is>
      </c>
      <c r="B7" s="54" t="inlineStr">
        <is>
          <t>Room capacity, power and connectivity need confirmation for each cohort, especially the approximately 100 students in Room 106.</t>
        </is>
      </c>
      <c r="C7" s="69" t="inlineStr">
        <is>
          <t>Likely</t>
        </is>
      </c>
      <c r="D7" s="69" t="inlineStr">
        <is>
          <t>High</t>
        </is>
      </c>
      <c r="E7" s="54" t="inlineStr">
        <is>
          <t>Confirm seats, working sockets, concurrent Colab access and accessible lab capacity with the Faculty. Stage the cohort notebooks and datasets locally for all three cohorts. Pre-provision the offline environment for connectivity failures in teaching sessions. Confirm any additional test sittings and invigilation before release.</t>
        </is>
      </c>
      <c r="F7" s="54" t="inlineStr">
        <is>
          <t>Lecturer + Faculty</t>
        </is>
      </c>
    </row>
    <row r="8" ht="72" customHeight="1" s="36">
      <c r="A8" s="46" t="inlineStr">
        <is>
          <t>R18</t>
        </is>
      </c>
      <c r="B8" s="47" t="inlineStr">
        <is>
          <t>The Friday 08:00 start makes a clear arrival and catch-up routine useful.</t>
        </is>
      </c>
      <c r="C8" s="65" t="inlineStr">
        <is>
          <t>Likely</t>
        </is>
      </c>
      <c r="D8" s="65" t="inlineStr">
        <is>
          <t>Low</t>
        </is>
      </c>
      <c r="E8" s="47" t="inlineStr">
        <is>
          <t>Start on time with an ungraded recap and the session agenda. Provide catch-up notes for missed introductions. Keep the same assessed outcomes and response-window duration across cohorts; announce any changes explicitly.</t>
        </is>
      </c>
      <c r="F8" s="47" t="inlineStr">
        <is>
          <t>Lecturer</t>
        </is>
      </c>
    </row>
    <row r="9" ht="72" customHeight="1" s="36">
      <c r="A9" s="53" t="inlineStr">
        <is>
          <t>R2</t>
        </is>
      </c>
      <c r="B9" s="54" t="inlineStr">
        <is>
          <t>Cohort A (~100 students) exceeds the capacity of one computer lab, making the Week 7 and Week 14 practical tests unrunnable in a single sitting.</t>
        </is>
      </c>
      <c r="C9" s="69" t="inlineStr">
        <is>
          <t>Likely</t>
        </is>
      </c>
      <c r="D9" s="69" t="inlineStr">
        <is>
          <t>High</t>
        </is>
      </c>
      <c r="E9" s="54" t="inlineStr">
        <is>
          <t>Run the laptop-access survey in Week 1. Escalate to the Faculty in Week 1 with a written capacity request. Plan for two sittings with different dataset variants, or a BYOD-plus-lab hybrid with a checkerboard seating pattern. Confirm by Week 5.</t>
        </is>
      </c>
      <c r="F9" s="54" t="inlineStr">
        <is>
          <t>Faculty + lecturer</t>
        </is>
      </c>
    </row>
    <row r="10" ht="72" customHeight="1" s="36">
      <c r="A10" s="53" t="inlineStr">
        <is>
          <t>R3</t>
        </is>
      </c>
      <c r="B10" s="54" t="inlineStr">
        <is>
          <t>Unreliable connectivity during Colab access and notebook uploads in Week 2.</t>
        </is>
      </c>
      <c r="C10" s="69" t="inlineStr">
        <is>
          <t>Likely</t>
        </is>
      </c>
      <c r="D10" s="69" t="inlineStr">
        <is>
          <t>High</t>
        </is>
      </c>
      <c r="E10" s="54" t="inlineStr">
        <is>
          <t>Use the small Colab-first kit. Stage the cohort ZIPs on USB or a local share and pre-provision the offline notebook environment as the connectivity fallback. Arrange practical support and explain how to retain a local copy when an upload fails.</t>
        </is>
      </c>
      <c r="F10" s="54" t="inlineStr">
        <is>
          <t>Lecturer</t>
        </is>
      </c>
    </row>
    <row r="11" ht="72" customHeight="1" s="36">
      <c r="A11" s="53" t="inlineStr">
        <is>
          <t>R4</t>
        </is>
      </c>
      <c r="B11" s="54" t="inlineStr">
        <is>
          <t>Power outages or network loss can interrupt teaching, collection or a practical test.</t>
        </is>
      </c>
      <c r="C11" s="69" t="inlineStr">
        <is>
          <t>Possible</t>
        </is>
      </c>
      <c r="D11" s="69" t="inlineStr">
        <is>
          <t>High</t>
        </is>
      </c>
      <c r="E11" s="54" t="inlineStr">
        <is>
          <t>Keep the issued notebooks, datasets and task sheets available locally. The practical tests run in Colab and the submission form, so they need connectivity too. Agree a documented interruption, collection and rescheduling procedure with the Faculty before the tests.</t>
        </is>
      </c>
      <c r="F11" s="54" t="inlineStr">
        <is>
          <t>Lecturer + Faculty</t>
        </is>
      </c>
    </row>
    <row r="12" ht="72" customHeight="1" s="36">
      <c r="A12" s="51" t="inlineStr">
        <is>
          <t>R5</t>
        </is>
      </c>
      <c r="B12" s="52" t="inlineStr">
        <is>
          <t>Very wide ability spread. Some students will have some prior exposure; most will have none.</t>
        </is>
      </c>
      <c r="C12" s="68" t="inlineStr">
        <is>
          <t>Certain</t>
        </is>
      </c>
      <c r="D12" s="68" t="inlineStr">
        <is>
          <t>Medium</t>
        </is>
      </c>
      <c r="E12" s="52" t="inlineStr">
        <is>
          <t>Every practical is written in two tiers: a core tier everyone must complete and a stretch tier for those who finish early. Faster students are recruited as floor helpers, which is both scaffolding and recognition. Teams are formed deliberately mixed, not by friendship.</t>
        </is>
      </c>
      <c r="F12" s="52" t="inlineStr">
        <is>
          <t>Lecturer</t>
        </is>
      </c>
    </row>
    <row r="13" ht="72" customHeight="1" s="36">
      <c r="A13" s="51" t="inlineStr">
        <is>
          <t>R6</t>
        </is>
      </c>
      <c r="B13" s="52" t="inlineStr">
        <is>
          <t>Team submissions can obscure individual contributions.</t>
        </is>
      </c>
      <c r="C13" s="68" t="inlineStr">
        <is>
          <t>Likely</t>
        </is>
      </c>
      <c r="D13" s="68" t="inlineStr">
        <is>
          <t>Medium</t>
        </is>
      </c>
      <c r="E13" s="52" t="inlineStr">
        <is>
          <t>The published individual assessment components remain separate from shared project marks. Rotate roles and require a specific contribution log with supporting repository evidence. Week 15 uses submitted individual typed defence answers and reflection; live questioning is formative. Repository-history checks still require a validated evidence route before their marks can be released.</t>
        </is>
      </c>
      <c r="F13" s="52" t="inlineStr">
        <is>
          <t>Lecturer</t>
        </is>
      </c>
    </row>
    <row r="14" ht="72" customHeight="1" s="36">
      <c r="A14" s="51" t="inlineStr">
        <is>
          <t>R7</t>
        </is>
      </c>
      <c r="B14" s="52" t="inlineStr">
        <is>
          <t>Collusion remains possible in a large practical-test sitting.</t>
        </is>
      </c>
      <c r="C14" s="68" t="inlineStr">
        <is>
          <t>Possible</t>
        </is>
      </c>
      <c r="D14" s="68" t="inlineStr">
        <is>
          <t>Medium</t>
        </is>
      </c>
      <c r="E14" s="52" t="inlineStr">
        <is>
          <t>Use matched dataset variants and suitable seating. The tests run in Colab, which cannot block AI tools; rely on matched variants, hidden-data grading and the understanding check. Request adequate invigilation for each sitting. Collect the notebook snapshot and the form confirmation with server timestamps.</t>
        </is>
      </c>
      <c r="F14" s="52" t="inlineStr">
        <is>
          <t>Lecturer + invigilators</t>
        </is>
      </c>
    </row>
    <row r="15" ht="72" customHeight="1" s="36">
      <c r="A15" s="53" t="inlineStr">
        <is>
          <t>R8</t>
        </is>
      </c>
      <c r="B15" s="54" t="inlineStr">
        <is>
          <t>The number of submissions can exceed one lecturer's manual marking capacity; workload estimates are planning assumptions, not measured savings.</t>
        </is>
      </c>
      <c r="C15" s="69" t="inlineStr">
        <is>
          <t>Certain</t>
        </is>
      </c>
      <c r="D15" s="69" t="inlineStr">
        <is>
          <t>High</t>
        </is>
      </c>
      <c r="E15" s="54" t="inlineStr">
        <is>
          <t>Automate routine checks and calibrate local rubric scoring against representative work. Measure runtime and exception rates on this Mac. Finalize task-specific checks before release. Resolve access and file-format issues separately from grading disagreements; keep unresolved marks blank and seek a reliable automated assessment route rather than assuming every report can be read manually.</t>
        </is>
      </c>
      <c r="F15" s="54" t="inlineStr">
        <is>
          <t>Lecturer + Faculty</t>
        </is>
      </c>
    </row>
    <row r="16" ht="72" customHeight="1" s="36">
      <c r="A16" s="46" t="inlineStr">
        <is>
          <t>R13</t>
        </is>
      </c>
      <c r="B16" s="47" t="inlineStr">
        <is>
          <t>Google Forms requires connectivity; an outage may prevent a cohort from accessing or submitting a quiz.</t>
        </is>
      </c>
      <c r="C16" s="65" t="inlineStr">
        <is>
          <t>Likely</t>
        </is>
      </c>
      <c r="D16" s="65" t="inlineStr">
        <is>
          <t>Low</t>
        </is>
      </c>
      <c r="E16" s="47" t="inlineStr">
        <is>
          <t>Best 10 of 12 provides some flexibility but does not replace a fair opportunity to attempt an assessment. Announce and configure an equivalent replacement response window after an outage, retaining the original record and the reason for the change. Printed questions can support practice; graded submissions must use the verified collection route. Do not silently assign zeros for a system failure.</t>
        </is>
      </c>
      <c r="F16" s="47" t="inlineStr">
        <is>
          <t>Lecturer</t>
        </is>
      </c>
    </row>
    <row r="17" ht="96" customHeight="1" s="36">
      <c r="A17" s="46" t="inlineStr">
        <is>
          <t>R14</t>
        </is>
      </c>
      <c r="B17" s="47" t="inlineStr">
        <is>
          <t>Low-stakes quizzes on personal devices allow answer sharing and should not be treated as proof of unaided competence.</t>
        </is>
      </c>
      <c r="C17" s="65" t="inlineStr">
        <is>
          <t>Likely</t>
        </is>
      </c>
      <c r="D17" s="65" t="inlineStr">
        <is>
          <t>Low</t>
        </is>
      </c>
      <c r="E17" s="47" t="inlineStr">
        <is>
          <t>Use the published 24-hour shared window and the classroom timer as a teaching aid. There is one version per cohort with cohort-specific examples and option order. Verified email and the Student Registration Number support roster matching. Scores, point values and missed-question feedback are visible after submission; correct-answer display is off. The two invigilated practical tests assess unaided work. Differences between quiz and test performance are a reason to investigate, not an automatic penalty.</t>
        </is>
      </c>
      <c r="F17" s="47" t="inlineStr">
        <is>
          <t>Lecturer</t>
        </is>
      </c>
    </row>
    <row r="18" ht="84" customHeight="1" s="36">
      <c r="A18" s="51" t="inlineStr">
        <is>
          <t>R15</t>
        </is>
      </c>
      <c r="B18" s="52" t="inlineStr">
        <is>
          <t>The current assessment setup uses a lecturer-owned Google account; Faculty-approved access, continuity and records arrangements need confirmation.</t>
        </is>
      </c>
      <c r="C18" s="68" t="inlineStr">
        <is>
          <t>Certain</t>
        </is>
      </c>
      <c r="D18" s="68" t="inlineStr">
        <is>
          <t>Medium</t>
        </is>
      </c>
      <c r="E18" s="52" t="inlineStr">
        <is>
          <t>Document the Faculty-approved restricted records location and authorized access. Collect Student Registration Number, verified-account email and the required assessment files, and explain their purpose. Google Forms stores uploads in Google Drive; only the AI assessment happens locally after download. Export records to a restricted Faculty records location, never a student-facing course share. Keep access and retention arrangements explicit.</t>
        </is>
      </c>
      <c r="F18" s="52" t="inlineStr">
        <is>
          <t>Lecturer + Faculty</t>
        </is>
      </c>
    </row>
    <row r="19" ht="72" customHeight="1" s="36">
      <c r="A19" s="51" t="inlineStr">
        <is>
          <t>R9</t>
        </is>
      </c>
      <c r="B19" s="52" t="inlineStr">
        <is>
          <t>Students may submit work they cannot explain, including AI-assisted work.</t>
        </is>
      </c>
      <c r="C19" s="68" t="inlineStr">
        <is>
          <t>Likely</t>
        </is>
      </c>
      <c r="D19" s="68" t="inlineStr">
        <is>
          <t>Medium</t>
        </is>
      </c>
      <c r="E19" s="52" t="inlineStr">
        <is>
          <t>Require an AI-use declaration for coursework. Both practical tests prohibit AI. Test 1 is a take-home test with an understanding check and Test 2 follows the invigilator's rules. Only code a student can explain earns marks, because the grader re-runs it on other data. Do not infer misconduct from writing style or an automated AI detector.</t>
        </is>
      </c>
      <c r="F19" s="52" t="inlineStr">
        <is>
          <t>Lecturer</t>
        </is>
      </c>
    </row>
    <row r="20" ht="72" customHeight="1" s="36">
      <c r="A20" s="51" t="inlineStr">
        <is>
          <t>R10</t>
        </is>
      </c>
      <c r="B20" s="52" t="inlineStr">
        <is>
          <t>External dataset links, access conditions or availability can change before teaching.</t>
        </is>
      </c>
      <c r="C20" s="68" t="inlineStr">
        <is>
          <t>Possible</t>
        </is>
      </c>
      <c r="D20" s="68" t="inlineStr">
        <is>
          <t>Medium</t>
        </is>
      </c>
      <c r="E20" s="52" t="inlineStr">
        <is>
          <t>Stage the selected dataset and a tested fallback before use, with provenance, permitted use and file hashes recorded. Distinguish already supplied teaching data from planned external downloads. Recheck the selected source before distribution; avoid depending on a live download during class.</t>
        </is>
      </c>
      <c r="F20" s="52" t="inlineStr">
        <is>
          <t>Lecturer</t>
        </is>
      </c>
    </row>
    <row r="21" ht="72" customHeight="1" s="36">
      <c r="A21" s="51" t="inlineStr">
        <is>
          <t>R11</t>
        </is>
      </c>
      <c r="B21" s="52" t="inlineStr">
        <is>
          <t>The 13 teaching weeks slip, and the project is squeezed.</t>
        </is>
      </c>
      <c r="C21" s="68" t="inlineStr">
        <is>
          <t>Possible</t>
        </is>
      </c>
      <c r="D21" s="68" t="inlineStr">
        <is>
          <t>Medium</t>
        </is>
      </c>
      <c r="E21" s="52" t="inlineStr">
        <is>
          <t>Weeks 11 and 12 carry deliberate compressible content. The project runs as a strand from Week 9 with four milestones, so it is not dependent on a single studio session. If a week is lost, cut the Week 12 defence round to 15 minutes rather than cutting a project milestone.</t>
        </is>
      </c>
      <c r="F21" s="52" t="inlineStr">
        <is>
          <t>Lecturer</t>
        </is>
      </c>
    </row>
    <row r="22" ht="72" customHeight="1" s="36">
      <c r="A22" s="46" t="inlineStr">
        <is>
          <t>R12</t>
        </is>
      </c>
      <c r="B22" s="47" t="inlineStr">
        <is>
          <t>Semester 2 begins with the cohort having forgotten Semester 1.</t>
        </is>
      </c>
      <c r="C22" s="65" t="inlineStr">
        <is>
          <t>Likely</t>
        </is>
      </c>
      <c r="D22" s="65" t="inlineStr">
        <is>
          <t>Low</t>
        </is>
      </c>
      <c r="E22" s="47" t="inlineStr">
        <is>
          <t>The Week 15 reflection requires two named Semester 2 goals. An optional holiday challenge is issued. Semester 2 Weeks 1-2 are designed as review-through-application, not as re-teaching.</t>
        </is>
      </c>
      <c r="F22" s="47" t="inlineStr">
        <is>
          <t>Lecturer</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2026-09-15T02:38:54Z</dcterms:created>
  <dcterms:modified xmlns:dcterms="http://purl.org/dc/terms/" xmlns:xsi="http://www.w3.org/2001/XMLSchema-instance" xsi:type="dcterms:W3CDTF">2026-10-30T16:37:13Z</dcterms:modified>
  <cp:revision>0</cp:revision>
</cp:coreProperties>
</file>