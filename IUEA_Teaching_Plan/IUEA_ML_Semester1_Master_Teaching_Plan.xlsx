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alendar" sheetId="2" state="visible" r:id="rId2"/>
    <sheet xmlns:r="http://schemas.openxmlformats.org/officeDocument/2006/relationships" name="Master Plan (Shared Core)" sheetId="3" state="visible" r:id="rId3"/>
    <sheet xmlns:r="http://schemas.openxmlformats.org/officeDocument/2006/relationships" name="Cohort A" sheetId="4" state="visible" r:id="rId4"/>
    <sheet xmlns:r="http://schemas.openxmlformats.org/officeDocument/2006/relationships" name="Cohort B" sheetId="5" state="visible" r:id="rId5"/>
    <sheet xmlns:r="http://schemas.openxmlformats.org/officeDocument/2006/relationships" name="Cohort C" sheetId="6" state="visible" r:id="rId6"/>
    <sheet xmlns:r="http://schemas.openxmlformats.org/officeDocument/2006/relationships" name="Shared vs Divergent" sheetId="7" state="visible" r:id="rId7"/>
    <sheet xmlns:r="http://schemas.openxmlformats.org/officeDocument/2006/relationships" name="Assessment" sheetId="8" state="visible" r:id="rId8"/>
    <sheet xmlns:r="http://schemas.openxmlformats.org/officeDocument/2006/relationships" name="Rubrics" sheetId="9" state="visible" r:id="rId9"/>
    <sheet xmlns:r="http://schemas.openxmlformats.org/officeDocument/2006/relationships" name="Tools Rollout" sheetId="10" state="visible" r:id="rId10"/>
    <sheet xmlns:r="http://schemas.openxmlformats.org/officeDocument/2006/relationships" name="Dataset Register" sheetId="11" state="visible" r:id="rId11"/>
    <sheet xmlns:r="http://schemas.openxmlformats.org/officeDocument/2006/relationships" name="Assessment Tech Stack" sheetId="12" state="visible" r:id="rId12"/>
    <sheet xmlns:r="http://schemas.openxmlformats.org/officeDocument/2006/relationships" name="Marking Load" sheetId="13" state="visible" r:id="rId13"/>
    <sheet xmlns:r="http://schemas.openxmlformats.org/officeDocument/2006/relationships" name="Risk Register" sheetId="14" state="visible" r:id="rId14"/>
  </sheets>
  <definedNames>
    <definedName name="_xlnm._FilterDatabase" localSheetId="2" hidden="1">'Master Plan (Shared Core)'!$A$4:$O$19</definedName>
    <definedName name="_xlnm._FilterDatabase" localSheetId="3" hidden="1">'Cohort A'!$A$4:$V$19</definedName>
    <definedName name="_xlnm._FilterDatabase" localSheetId="4" hidden="1">'Cohort B'!$A$4:$V$19</definedName>
    <definedName name="_xlnm._FilterDatabase" localSheetId="5" hidden="1">'Cohort C'!$A$4:$V$19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8"/>
    </font>
    <font>
      <name val="Arial"/>
      <i val="1"/>
      <color rgb="002E5C8A"/>
      <sz val="11"/>
    </font>
    <font>
      <name val="Arial"/>
      <b val="1"/>
      <color rgb="00FFFFFF"/>
      <sz val="12"/>
    </font>
    <font>
      <name val="Arial"/>
      <b val="1"/>
      <sz val="9"/>
    </font>
    <font>
      <name val="Arial"/>
      <sz val="9"/>
    </font>
    <font>
      <name val="Arial"/>
      <b val="1"/>
      <color rgb="00FFFFFF"/>
      <sz val="10"/>
    </font>
    <font>
      <name val="Arial"/>
      <i val="1"/>
      <color rgb="009C4500"/>
      <sz val="9"/>
    </font>
    <font>
      <name val="Arial"/>
      <i val="1"/>
      <sz val="9"/>
    </font>
  </fonts>
  <fills count="9">
    <fill>
      <patternFill/>
    </fill>
    <fill>
      <patternFill patternType="gray125"/>
    </fill>
    <fill>
      <patternFill patternType="solid">
        <fgColor rgb="002E5C8A"/>
      </patternFill>
    </fill>
    <fill>
      <patternFill patternType="solid">
        <fgColor rgb="001F3864"/>
      </patternFill>
    </fill>
    <fill>
      <patternFill patternType="solid">
        <fgColor rgb="00E2EFDA"/>
      </patternFill>
    </fill>
    <fill>
      <patternFill patternType="solid">
        <fgColor rgb="00FFF2CC"/>
      </patternFill>
    </fill>
    <fill>
      <patternFill patternType="solid">
        <fgColor rgb="00F2F5FB"/>
      </patternFill>
    </fill>
    <fill>
      <patternFill patternType="solid">
        <fgColor rgb="00FCE4E4"/>
      </patternFill>
    </fill>
    <fill>
      <patternFill patternType="solid">
        <fgColor rgb="00D9E2F3"/>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4" fillId="4" borderId="1" applyAlignment="1" pivotButton="0" quotePrefix="0" xfId="0">
      <alignment horizontal="center" vertical="top" wrapText="1"/>
    </xf>
    <xf numFmtId="0" fontId="5" fillId="4" borderId="1" applyAlignment="1" pivotButton="0" quotePrefix="0" xfId="0">
      <alignment vertical="top" wrapText="1"/>
    </xf>
    <xf numFmtId="0" fontId="4" fillId="5" borderId="0"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vertical="top" wrapText="1"/>
    </xf>
    <xf numFmtId="0" fontId="4" fillId="6" borderId="1" applyAlignment="1" pivotButton="0" quotePrefix="0" xfId="0">
      <alignment horizontal="center" vertical="top" wrapText="1"/>
    </xf>
    <xf numFmtId="0" fontId="5" fillId="6" borderId="1" applyAlignment="1" pivotButton="0" quotePrefix="0" xfId="0">
      <alignment vertical="top" wrapText="1"/>
    </xf>
    <xf numFmtId="0" fontId="7" fillId="5" borderId="0" applyAlignment="1" pivotButton="0" quotePrefix="0" xfId="0">
      <alignment vertical="top" wrapText="1"/>
    </xf>
    <xf numFmtId="0" fontId="4" fillId="5" borderId="1" applyAlignment="1" pivotButton="0" quotePrefix="0" xfId="0">
      <alignment horizontal="center" vertical="top" wrapText="1"/>
    </xf>
    <xf numFmtId="0" fontId="5" fillId="5" borderId="1" applyAlignment="1" pivotButton="0" quotePrefix="0" xfId="0">
      <alignment vertical="top" wrapText="1"/>
    </xf>
    <xf numFmtId="0" fontId="4" fillId="7" borderId="1" applyAlignment="1" pivotButton="0" quotePrefix="0" xfId="0">
      <alignment horizontal="center" vertical="top" wrapText="1"/>
    </xf>
    <xf numFmtId="0" fontId="5" fillId="7" borderId="1" applyAlignment="1" pivotButton="0" quotePrefix="0" xfId="0">
      <alignment vertical="top" wrapText="1"/>
    </xf>
    <xf numFmtId="0" fontId="8" fillId="0" borderId="0" applyAlignment="1" pivotButton="0" quotePrefix="0" xfId="0">
      <alignment vertical="top" wrapText="1"/>
    </xf>
    <xf numFmtId="0" fontId="4" fillId="8" borderId="0" applyAlignment="1" pivotButton="0" quotePrefix="0" xfId="0">
      <alignment vertical="top" wrapText="1"/>
    </xf>
    <xf numFmtId="0" fontId="3" fillId="2" borderId="0" pivotButton="0" quotePrefix="0" xfId="0"/>
    <xf numFmtId="9" fontId="5" fillId="0" borderId="1" applyAlignment="1" pivotButton="0" quotePrefix="0" xfId="0">
      <alignment horizontal="center" vertical="top" wrapText="1"/>
    </xf>
    <xf numFmtId="0" fontId="4" fillId="8" borderId="1" applyAlignment="1" pivotButton="0" quotePrefix="0" xfId="0">
      <alignment horizontal="center" vertical="top" wrapText="1"/>
    </xf>
    <xf numFmtId="0" fontId="5" fillId="8" borderId="1" applyAlignment="1" pivotButton="0" quotePrefix="0" xfId="0">
      <alignment vertical="top" wrapText="1"/>
    </xf>
    <xf numFmtId="9" fontId="4" fillId="8" borderId="1" applyAlignment="1" pivotButton="0" quotePrefix="0" xfId="0">
      <alignment horizontal="center" vertical="top" wrapText="1"/>
    </xf>
    <xf numFmtId="9" fontId="5" fillId="4" borderId="1" applyAlignment="1" pivotButton="0" quotePrefix="0" xfId="0">
      <alignment horizontal="center" vertical="top" wrapText="1"/>
    </xf>
    <xf numFmtId="9" fontId="5" fillId="5" borderId="1" applyAlignment="1" pivotButton="0" quotePrefix="0" xfId="0">
      <alignment horizontal="center" vertical="top" wrapText="1"/>
    </xf>
    <xf numFmtId="9" fontId="5" fillId="8" borderId="1" applyAlignment="1" pivotButton="0" quotePrefix="0" xfId="0">
      <alignment horizontal="center" vertical="top" wrapText="1"/>
    </xf>
    <xf numFmtId="0" fontId="5" fillId="0" borderId="1" applyAlignment="1" pivotButton="0" quotePrefix="0" xfId="0">
      <alignment horizontal="center" vertical="top" wrapText="1"/>
    </xf>
    <xf numFmtId="0" fontId="5" fillId="6" borderId="1" applyAlignment="1" pivotButton="0" quotePrefix="0" xfId="0">
      <alignment horizontal="center" vertical="top" wrapText="1"/>
    </xf>
    <xf numFmtId="0" fontId="5"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F45"/>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24" customWidth="1" min="3" max="3"/>
    <col width="42" customWidth="1" min="4" max="4"/>
    <col width="24" customWidth="1" min="5" max="5"/>
    <col width="34" customWidth="1" min="6" max="6"/>
  </cols>
  <sheetData>
    <row r="1" ht="26" customHeight="1">
      <c r="A1" s="1" t="inlineStr">
        <is>
          <t>IUEA Year 3 Engineering — Machine Learning Programme</t>
        </is>
      </c>
    </row>
    <row r="2" ht="18" customHeight="1">
      <c r="A2" s="2" t="inlineStr">
        <is>
          <t>Semester 1 Master Teaching Plan · 7 September – 18 December 2026 · 15 study weeks · 3 contact hours per cohort per week</t>
        </is>
      </c>
    </row>
    <row r="4" ht="20" customHeight="1">
      <c r="A4" s="3" t="inlineStr">
        <is>
          <t>WHAT THIS WORKBOOK IS</t>
        </is>
      </c>
    </row>
    <row r="5" ht="44" customHeight="1">
      <c r="A5" s="4" t="inlineStr">
        <is>
          <t>Purpose</t>
        </is>
      </c>
      <c r="B5" s="5" t="inlineStr">
        <is>
          <t>The lecturer-ready master plan for Semester 1. It fixes the calendar, the week-by-week architecture, the shared core and the cohort-specific overlay, the assessment design and the rubrics. It is the layer that must be agreed BEFORE lesson plans, slide decks, notebooks and labs are produced.</t>
        </is>
      </c>
    </row>
    <row r="6" ht="44" customHeight="1">
      <c r="A6" s="4" t="inlineStr">
        <is>
          <t>Design rule</t>
        </is>
      </c>
      <c r="B6" s="5" t="inlineStr">
        <is>
          <t>Approximately 70% of each session is a shared machine learning core, taught identically to all three cohorts, and approximately 30% is a discipline-specific overlay of examples, datasets and projects. Prepare once, re-skin three times. The 'Shared vs Divergent' sheet tells you exactly which is which, week by week.</t>
        </is>
      </c>
    </row>
    <row r="7" ht="36" customHeight="1">
      <c r="A7" s="4" t="inlineStr">
        <is>
          <t>Pedagogical rule</t>
        </is>
      </c>
      <c r="B7" s="5" t="inlineStr">
        <is>
          <t>The problem creates the need for the concept. No week opens with a definition. Every tool is introduced by the problem it solves. Students are left to struggle productively in at least one segment of every session.</t>
        </is>
      </c>
    </row>
    <row r="8" ht="36" customHeight="1">
      <c r="A8" s="4" t="inlineStr">
        <is>
          <t>Not yet built</t>
        </is>
      </c>
      <c r="B8" s="5" t="inlineStr">
        <is>
          <t>Lesson plans, slide decks, Jupyter notebooks, the course-authored teaching datasets, the test variants and the Semester 2 plan. The 'Dataset Register' marks every course-authored artefact as TO BE BUILT with the week it is needed.</t>
        </is>
      </c>
    </row>
    <row r="10" ht="20" customHeight="1">
      <c r="A10" s="3" t="inlineStr">
        <is>
          <t>THE CONFIRMED TIMETABLE</t>
        </is>
      </c>
    </row>
    <row r="11" ht="26" customHeight="1">
      <c r="A11" s="4" t="inlineStr">
        <is>
          <t>Status</t>
        </is>
      </c>
      <c r="B11" s="5" t="inlineStr">
        <is>
          <t>CONFIRMED by the lecturer, September 2026. Every date, room and time in this workbook now follows from this table. There is nothing left to fill in.</t>
        </is>
      </c>
    </row>
    <row r="12" ht="32" customHeight="1">
      <c r="A12" s="6" t="inlineStr">
        <is>
          <t>Course code</t>
        </is>
      </c>
      <c r="B12" s="6" t="inlineStr">
        <is>
          <t>Day &amp; time</t>
        </is>
      </c>
      <c r="C12" s="6" t="inlineStr">
        <is>
          <t>Room</t>
        </is>
      </c>
      <c r="D12" s="6" t="inlineStr">
        <is>
          <t>Cohort &amp; programmes</t>
        </is>
      </c>
      <c r="E12" s="6" t="inlineStr">
        <is>
          <t>Approx. size</t>
        </is>
      </c>
      <c r="F12" s="6" t="inlineStr">
        <is>
          <t>Course title</t>
        </is>
      </c>
    </row>
    <row r="13" ht="30" customHeight="1">
      <c r="A13" s="7" t="inlineStr">
        <is>
          <t>CML3112</t>
        </is>
      </c>
      <c r="B13" s="8" t="inlineStr">
        <is>
          <t>Tuesday 11:00-14:00</t>
        </is>
      </c>
      <c r="C13" s="8" t="inlineStr">
        <is>
          <t>Room 106</t>
        </is>
      </c>
      <c r="D13" s="8" t="inlineStr">
        <is>
          <t>Cohort A — Civil Engineering + Architecture</t>
        </is>
      </c>
      <c r="E13" s="8" t="inlineStr">
        <is>
          <t>~100 students (est. 22 project teams of 4-5)</t>
        </is>
      </c>
      <c r="F13" s="8" t="inlineStr">
        <is>
          <t>Introduction to Machine Learning in Design &amp; Infrastructure</t>
        </is>
      </c>
    </row>
    <row r="14" ht="30" customHeight="1">
      <c r="A14" s="7" t="inlineStr">
        <is>
          <t>CML3113</t>
        </is>
      </c>
      <c r="B14" s="8" t="inlineStr">
        <is>
          <t>Friday 08:00-11:00</t>
        </is>
      </c>
      <c r="C14" s="8" t="inlineStr">
        <is>
          <t>Room 105</t>
        </is>
      </c>
      <c r="D14" s="8" t="inlineStr">
        <is>
          <t>Cohort B — Petroleum Engineering + Mining Engineering</t>
        </is>
      </c>
      <c r="E14" s="8" t="inlineStr">
        <is>
          <t>~40-50 students (est. 10 project teams of 4-5)</t>
        </is>
      </c>
      <c r="F14" s="8" t="inlineStr">
        <is>
          <t>Introduction to Machine Learning in Mining &amp; Petroleum Engineering</t>
        </is>
      </c>
    </row>
    <row r="15" ht="30" customHeight="1">
      <c r="A15" s="7" t="inlineStr">
        <is>
          <t>CML3111</t>
        </is>
      </c>
      <c r="B15" s="8" t="inlineStr">
        <is>
          <t>Friday 11:00-14:00</t>
        </is>
      </c>
      <c r="C15" s="8" t="inlineStr">
        <is>
          <t>Room 115</t>
        </is>
      </c>
      <c r="D15" s="8" t="inlineStr">
        <is>
          <t>Cohort C — Communications + Electrical + Mechatronics + Robotics Engineering</t>
        </is>
      </c>
      <c r="E15" s="8" t="inlineStr">
        <is>
          <t>~50 students (est. 11 project teams of 4-5)</t>
        </is>
      </c>
      <c r="F15" s="8" t="inlineStr">
        <is>
          <t>Introduction to Machine Learning in Engineering</t>
        </is>
      </c>
    </row>
    <row r="17" ht="62" customHeight="1">
      <c r="A17" s="9" t="inlineStr">
        <is>
          <t>THREE CONSEQUENCES OF THIS TIMETABLE, each of which changes how the semester runs.  (1) Friday is a SIX-HOUR back-to-back day, 08:00–14:00, with a room change and no gap — see Risk R16.  (2) The Week 5 Independence Day holiday now falls only on the two FRIDAY cohorts. CML3112 teaches Week 5 normally on Tue 06 Oct, so record that session and issue it to the Friday cohorts — see Risk R1.  (3) The largest cohort (~100) is in Room 106, and because the course runs in Google Colab, that room's WIFI capacity is now the biggest single delivery risk — see Risk R17.</t>
        </is>
      </c>
    </row>
    <row r="19" ht="20" customHeight="1">
      <c r="A19" s="3" t="inlineStr">
        <is>
          <t>THE THREE COHORTS</t>
        </is>
      </c>
    </row>
    <row r="20" ht="32" customHeight="1">
      <c r="A20" s="6" t="inlineStr">
        <is>
          <t>Cohort</t>
        </is>
      </c>
      <c r="B20" s="6" t="inlineStr">
        <is>
          <t>Programmes</t>
        </is>
      </c>
      <c r="C20" s="6" t="inlineStr">
        <is>
          <t>Approx. size</t>
        </is>
      </c>
      <c r="D20" s="6" t="inlineStr">
        <is>
          <t>Course title</t>
        </is>
      </c>
      <c r="E20" s="6" t="inlineStr">
        <is>
          <t>Course code</t>
        </is>
      </c>
      <c r="F20" s="6" t="inlineStr">
        <is>
          <t>Anchor domain</t>
        </is>
      </c>
    </row>
    <row r="21" ht="32" customHeight="1">
      <c r="A21" s="10" t="inlineStr">
        <is>
          <t>Cohort A</t>
        </is>
      </c>
      <c r="B21" s="11" t="inlineStr">
        <is>
          <t>Civil Engineering + Architecture</t>
        </is>
      </c>
      <c r="C21" s="11" t="inlineStr">
        <is>
          <t>~100 students (est. 22 project teams of 4-5)</t>
        </is>
      </c>
      <c r="D21" s="11" t="inlineStr">
        <is>
          <t>Introduction to Machine Learning in Design &amp; Infrastructure</t>
        </is>
      </c>
      <c r="E21" s="11" t="inlineStr">
        <is>
          <t>CML3112</t>
        </is>
      </c>
      <c r="F21" s="11" t="inlineStr">
        <is>
          <t>infrastructure, construction, structures, materials, building performance and design</t>
        </is>
      </c>
    </row>
    <row r="22" ht="32" customHeight="1">
      <c r="A22" s="12" t="inlineStr">
        <is>
          <t>Cohort B</t>
        </is>
      </c>
      <c r="B22" s="13" t="inlineStr">
        <is>
          <t>Petroleum Engineering + Mining Engineering</t>
        </is>
      </c>
      <c r="C22" s="13" t="inlineStr">
        <is>
          <t>~40-50 students (est. 10 project teams of 4-5)</t>
        </is>
      </c>
      <c r="D22" s="13" t="inlineStr">
        <is>
          <t>Introduction to Machine Learning in Mining &amp; Petroleum Engineering</t>
        </is>
      </c>
      <c r="E22" s="13" t="inlineStr">
        <is>
          <t>CML3113</t>
        </is>
      </c>
      <c r="F22" s="13" t="inlineStr">
        <is>
          <t>geoscience data, exploration, ore and reservoir characterisation, production and equipment</t>
        </is>
      </c>
    </row>
    <row r="23" ht="32" customHeight="1">
      <c r="A23" s="10" t="inlineStr">
        <is>
          <t>Cohort C</t>
        </is>
      </c>
      <c r="B23" s="11" t="inlineStr">
        <is>
          <t>Communications + Electrical + Mechatronics + Robotics Engineering</t>
        </is>
      </c>
      <c r="C23" s="11" t="inlineStr">
        <is>
          <t>~50 students (est. 11 project teams of 4-5)</t>
        </is>
      </c>
      <c r="D23" s="11" t="inlineStr">
        <is>
          <t>Introduction to Machine Learning in Engineering</t>
        </is>
      </c>
      <c r="E23" s="11" t="inlineStr">
        <is>
          <t>CML3111</t>
        </is>
      </c>
      <c r="F23" s="11" t="inlineStr">
        <is>
          <t>sensors, signals, energy systems, fault detection, machines and robotics</t>
        </is>
      </c>
    </row>
    <row r="25" ht="20" customHeight="1">
      <c r="A25" s="3" t="inlineStr">
        <is>
          <t>ACTION 2 — ESCALATE THESE THREE ITEMS TO THE FACULTY IN WEEK 1</t>
        </is>
      </c>
    </row>
    <row r="26" ht="40" customHeight="1">
      <c r="A26" s="4" t="inlineStr">
        <is>
          <t>Test capacity</t>
        </is>
      </c>
      <c r="B26" s="5" t="inlineStr">
        <is>
          <t>Cohort A (~100) almost certainly cannot sit the Week 7 and Week 14 practical tests in one lab sitting. A written capacity request, or approval for two sittings, is needed by Week 5. See Risk R2.</t>
        </is>
      </c>
    </row>
    <row r="27" ht="40" customHeight="1">
      <c r="A27" s="4" t="inlineStr">
        <is>
          <t>Week 5 holiday</t>
        </is>
      </c>
      <c r="B27" s="5" t="inlineStr">
        <is>
          <t>Friday 9 October 2026 is Uganda Independence Day and falls in Week 5. Both Friday cohorts lose the most important pandas session of the semester. Either a make-up slot is approved or the asynchronous mitigation is published by 7 October. Decide in Week 2. See Risk R1.</t>
        </is>
      </c>
    </row>
    <row r="28" ht="40" customHeight="1">
      <c r="A28" s="4" t="inlineStr">
        <is>
          <t>Marking support</t>
        </is>
      </c>
      <c r="B28" s="5" t="inlineStr">
        <is>
          <t>Fully human marking of this design is about 246 hours a semester, roughly 16 hours a week. The auto-grading stack takes it to about 120 hours, roughly 8 hours a week. Still worth quantifying in a Week 1 request. See the 'Marking Load' sheet and Risk R8.</t>
        </is>
      </c>
    </row>
    <row r="29" ht="40" customHeight="1">
      <c r="A29" s="4" t="inlineStr">
        <is>
          <t>Assessment records</t>
        </is>
      </c>
      <c r="B29" s="5" t="inlineStr">
        <is>
          <t>There is no institutional LMS, so quiz responses and the gradebook will sit in a personal Google account. Get a written Faculty position on ownership and data protection, and export everything to the course share as CSV at the end of every block. See Risk R15.</t>
        </is>
      </c>
    </row>
    <row r="30" ht="40" customHeight="1">
      <c r="A30" s="4" t="inlineStr">
        <is>
          <t>Assessment policy</t>
        </is>
      </c>
      <c r="B30" s="5" t="inlineStr">
        <is>
          <t>The weightings on the 'Assessment' sheet are a proposal. If IUEA mandates a coursework / final split, the alternative 40/60 mapping on that same sheet satisfies it without changing any teaching. Confirm which model applies before Week 5, because Test 1 falls in Week 7.</t>
        </is>
      </c>
    </row>
    <row r="32" ht="20" customHeight="1">
      <c r="A32" s="3" t="inlineStr">
        <is>
          <t>HOW TO NAVIGATE THIS WORKBOOK</t>
        </is>
      </c>
    </row>
    <row r="33" ht="26" customHeight="1">
      <c r="A33" s="4" t="inlineStr">
        <is>
          <t>Calendar</t>
        </is>
      </c>
      <c r="B33" s="5" t="inlineStr">
        <is>
          <t>All 15 weeks with real dates for both the Tuesday and the Friday slots, teaching weeks and assessment weeks marked, and the public holiday flagged.</t>
        </is>
      </c>
    </row>
    <row r="34" ht="26" customHeight="1">
      <c r="A34" s="4" t="inlineStr">
        <is>
          <t>Master Plan (Shared Core)</t>
        </is>
      </c>
      <c r="B34" s="5" t="inlineStr">
        <is>
          <t>The 70% core. One row per week. This is what you prepare once.</t>
        </is>
      </c>
    </row>
    <row r="35" ht="26" customHeight="1">
      <c r="A35" s="4" t="inlineStr">
        <is>
          <t>Cohort A / B / C</t>
        </is>
      </c>
      <c r="B35" s="5" t="inlineStr">
        <is>
          <t>The full 20-column plan per cohort, with the discipline overlay merged in. These are the sheets to print or hand to the department.</t>
        </is>
      </c>
    </row>
    <row r="36" ht="26" customHeight="1">
      <c r="A36" s="4" t="inlineStr">
        <is>
          <t>Shared vs Divergent</t>
        </is>
      </c>
      <c r="B36" s="5" t="inlineStr">
        <is>
          <t>Week by week: what is identical across cohorts and what must be re-skinned. Use this to plan your own preparation time.</t>
        </is>
      </c>
    </row>
    <row r="37" ht="26" customHeight="1">
      <c r="A37" s="4" t="inlineStr">
        <is>
          <t>Assessment</t>
        </is>
      </c>
      <c r="B37" s="5" t="inlineStr">
        <is>
          <t>Component weights, dates, individual versus team, machine-marked share, and the alternative 40/60 continuous-assessment model.</t>
        </is>
      </c>
    </row>
    <row r="38" ht="26" customHeight="1">
      <c r="A38" s="4" t="inlineStr">
        <is>
          <t>Assessment Tech Stack</t>
        </is>
      </c>
      <c r="B38" s="5" t="inlineStr">
        <is>
          <t>The five free layers that make continuous assessment possible for one lecturer, with each tool's verified limits. Working code is in the assessment-tools folder.</t>
        </is>
      </c>
    </row>
    <row r="39" ht="26" customHeight="1">
      <c r="A39" s="4" t="inlineStr">
        <is>
          <t>Marking Load</t>
        </is>
      </c>
      <c r="B39" s="5" t="inlineStr">
        <is>
          <t>The before-and-after arithmetic: ~246 hours fully human against ~120 with the stack.</t>
        </is>
      </c>
    </row>
    <row r="40" ht="26" customHeight="1">
      <c r="A40" s="4" t="inlineStr">
        <is>
          <t>Rubrics</t>
        </is>
      </c>
      <c r="B40" s="5" t="inlineStr">
        <is>
          <t>All six rubrics, with criterion weights that sum to 100 by formula.</t>
        </is>
      </c>
    </row>
    <row r="41" ht="26" customHeight="1">
      <c r="A41" s="4" t="inlineStr">
        <is>
          <t>Tools Rollout</t>
        </is>
      </c>
      <c r="B41" s="5" t="inlineStr">
        <is>
          <t>Every tool, the week it appears, and the problem it solves. The AI-assistant ladder is the last row.</t>
        </is>
      </c>
    </row>
    <row r="42" ht="26" customHeight="1">
      <c r="A42" s="4" t="inlineStr">
        <is>
          <t>Dataset Register</t>
        </is>
      </c>
      <c r="B42" s="5" t="inlineStr">
        <is>
          <t>Every dataset with host, licence, size, task, weeks used and verification status.</t>
        </is>
      </c>
    </row>
    <row r="43" ht="26" customHeight="1">
      <c r="A43" s="4" t="inlineStr">
        <is>
          <t>Risk Register</t>
        </is>
      </c>
      <c r="B43" s="5" t="inlineStr">
        <is>
          <t>Twelve risks with owners and mitigations. R1, R2 and R3 need action in the first fortnight.</t>
        </is>
      </c>
    </row>
    <row r="45" ht="46" customHeight="1">
      <c r="A45" s="14" t="inlineStr">
        <is>
          <t>Dataset verification note: datasets marked VERIFIED were confirmed to exist and to be openly licensed on 1 September 2026. Those marked VERIFY BEFORE USE are named from the lecturer's knowledge of the repositories but were not confirmed. Re-check every link in the week before you use it, and stage every dataset on the local share rather than fetching it live in class.</t>
        </is>
      </c>
    </row>
  </sheetData>
  <mergeCells count="30">
    <mergeCell ref="B7:F7"/>
    <mergeCell ref="B27:F27"/>
    <mergeCell ref="A2:F2"/>
    <mergeCell ref="B43:F43"/>
    <mergeCell ref="B39:F39"/>
    <mergeCell ref="B11:F11"/>
    <mergeCell ref="B42:F42"/>
    <mergeCell ref="A32:F32"/>
    <mergeCell ref="A17:F17"/>
    <mergeCell ref="A4:F4"/>
    <mergeCell ref="B8:F8"/>
    <mergeCell ref="B29:F29"/>
    <mergeCell ref="A10:F10"/>
    <mergeCell ref="B38:F38"/>
    <mergeCell ref="A19:F19"/>
    <mergeCell ref="B34:F34"/>
    <mergeCell ref="B28:F28"/>
    <mergeCell ref="B37:F37"/>
    <mergeCell ref="B40:F40"/>
    <mergeCell ref="B30:F30"/>
    <mergeCell ref="B6:F6"/>
    <mergeCell ref="B33:F33"/>
    <mergeCell ref="A1:F1"/>
    <mergeCell ref="A45:F45"/>
    <mergeCell ref="B5:F5"/>
    <mergeCell ref="B36:F36"/>
    <mergeCell ref="B26:F26"/>
    <mergeCell ref="B41:F41"/>
    <mergeCell ref="A25:F25"/>
    <mergeCell ref="B35:F35"/>
  </mergeCells>
  <pageMargins left="0.75" right="0.75" top="1" bottom="1" header="0.5" footer="0.5"/>
</worksheet>
</file>

<file path=xl/worksheets/sheet2.xml><?xml version="1.0" encoding="utf-8"?>
<worksheet xmlns="http://schemas.openxmlformats.org/spreadsheetml/2006/main">
  <sheetPr>
    <tabColor rgb="002E5C8A"/>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18" customWidth="1" min="3" max="3"/>
    <col width="24" customWidth="1" min="4" max="4"/>
    <col width="24" customWidth="1" min="5" max="5"/>
    <col width="24" customWidth="1" min="6" max="6"/>
    <col width="17" customWidth="1" min="7" max="7"/>
    <col width="58" customWidth="1" min="8" max="8"/>
  </cols>
  <sheetData>
    <row r="1" ht="26" customHeight="1">
      <c r="A1" s="1" t="inlineStr">
        <is>
          <t>Semester 1 Calendar</t>
        </is>
      </c>
    </row>
    <row r="2" ht="18" customHeight="1">
      <c r="A2" s="2" t="inlineStr">
        <is>
          <t>15 study weeks from Monday 7 September 2026. Each cohort meets once per week for 3 hours.</t>
        </is>
      </c>
    </row>
    <row r="4" ht="32" customHeight="1">
      <c r="A4" s="6" t="inlineStr">
        <is>
          <t>Week</t>
        </is>
      </c>
      <c r="B4" s="6" t="inlineStr">
        <is>
          <t>Block / Phase</t>
        </is>
      </c>
      <c r="C4" s="6" t="inlineStr">
        <is>
          <t>Week commencing</t>
        </is>
      </c>
      <c r="D4" s="6" t="inlineStr">
        <is>
          <t>CML3112 · Tue 11:00–14:00 · Rm 106</t>
        </is>
      </c>
      <c r="E4" s="6" t="inlineStr">
        <is>
          <t>CML3113 · Fri 08:00–11:00 · Rm 105</t>
        </is>
      </c>
      <c r="F4" s="6" t="inlineStr">
        <is>
          <t>CML3111 · Fri 11:00–14:00 · Rm 115</t>
        </is>
      </c>
      <c r="G4" s="6" t="inlineStr">
        <is>
          <t>Week type</t>
        </is>
      </c>
      <c r="H4" s="6" t="inlineStr">
        <is>
          <t>Notes and actions</t>
        </is>
      </c>
    </row>
    <row r="5" ht="26" customHeight="1">
      <c r="A5" s="10" t="n">
        <v>1</v>
      </c>
      <c r="B5" s="11" t="inlineStr">
        <is>
          <t>Block 1 - Orientation &amp; Computational Thinking</t>
        </is>
      </c>
      <c r="C5" s="11" t="inlineStr">
        <is>
          <t>Mon 07 Sep 2026</t>
        </is>
      </c>
      <c r="D5" s="11" t="inlineStr">
        <is>
          <t>Tue 08 Sep 2026</t>
        </is>
      </c>
      <c r="E5" s="11" t="inlineStr">
        <is>
          <t>Fri 11 Sep 2026</t>
        </is>
      </c>
      <c r="F5" s="11" t="inlineStr">
        <is>
          <t>Fri 11 Sep 2026</t>
        </is>
      </c>
      <c r="G5" s="11" t="inlineStr">
        <is>
          <t>Teaching</t>
        </is>
      </c>
      <c r="H5" s="11" t="inlineStr"/>
    </row>
    <row r="6" ht="26" customHeight="1">
      <c r="A6" s="10" t="n">
        <v>2</v>
      </c>
      <c r="B6" s="11" t="inlineStr">
        <is>
          <t>Block 1 - Orientation &amp; Computational Thinking</t>
        </is>
      </c>
      <c r="C6" s="11" t="inlineStr">
        <is>
          <t>Mon 14 Sep 2026</t>
        </is>
      </c>
      <c r="D6" s="11" t="inlineStr">
        <is>
          <t>Tue 15 Sep 2026</t>
        </is>
      </c>
      <c r="E6" s="11" t="inlineStr">
        <is>
          <t>Fri 18 Sep 2026</t>
        </is>
      </c>
      <c r="F6" s="11" t="inlineStr">
        <is>
          <t>Fri 18 Sep 2026</t>
        </is>
      </c>
      <c r="G6" s="11" t="inlineStr">
        <is>
          <t>Teaching</t>
        </is>
      </c>
      <c r="H6" s="11" t="inlineStr"/>
    </row>
    <row r="7" ht="26" customHeight="1">
      <c r="A7" s="10" t="n">
        <v>3</v>
      </c>
      <c r="B7" s="11" t="inlineStr">
        <is>
          <t>Block 1 - Orientation &amp; Computational Thinking</t>
        </is>
      </c>
      <c r="C7" s="11" t="inlineStr">
        <is>
          <t>Mon 21 Sep 2026</t>
        </is>
      </c>
      <c r="D7" s="11" t="inlineStr">
        <is>
          <t>Tue 22 Sep 2026</t>
        </is>
      </c>
      <c r="E7" s="11" t="inlineStr">
        <is>
          <t>Fri 25 Sep 2026</t>
        </is>
      </c>
      <c r="F7" s="11" t="inlineStr">
        <is>
          <t>Fri 25 Sep 2026</t>
        </is>
      </c>
      <c r="G7" s="11" t="inlineStr">
        <is>
          <t>Teaching</t>
        </is>
      </c>
      <c r="H7" s="11" t="inlineStr"/>
    </row>
    <row r="8" ht="26" customHeight="1">
      <c r="A8" s="10" t="n">
        <v>4</v>
      </c>
      <c r="B8" s="11" t="inlineStr">
        <is>
          <t>Block 1 - Orientation &amp; Computational Thinking</t>
        </is>
      </c>
      <c r="C8" s="11" t="inlineStr">
        <is>
          <t>Mon 28 Sep 2026</t>
        </is>
      </c>
      <c r="D8" s="11" t="inlineStr">
        <is>
          <t>Tue 29 Sep 2026</t>
        </is>
      </c>
      <c r="E8" s="11" t="inlineStr">
        <is>
          <t>Fri 02 Oct 2026</t>
        </is>
      </c>
      <c r="F8" s="11" t="inlineStr">
        <is>
          <t>Fri 02 Oct 2026</t>
        </is>
      </c>
      <c r="G8" s="11" t="inlineStr">
        <is>
          <t>Teaching</t>
        </is>
      </c>
      <c r="H8" s="11" t="inlineStr"/>
    </row>
    <row r="9" ht="44" customHeight="1">
      <c r="A9" s="15" t="n">
        <v>5</v>
      </c>
      <c r="B9" s="16" t="inlineStr">
        <is>
          <t>Block 2 - Engineering Data</t>
        </is>
      </c>
      <c r="C9" s="16" t="inlineStr">
        <is>
          <t>Mon 05 Oct 2026</t>
        </is>
      </c>
      <c r="D9" s="16" t="inlineStr">
        <is>
          <t>Tue 06 Oct 2026</t>
        </is>
      </c>
      <c r="E9" s="16" t="inlineStr">
        <is>
          <t>Fri 09 Oct 2026</t>
        </is>
      </c>
      <c r="F9" s="16" t="inlineStr">
        <is>
          <t>Fri 09 Oct 2026</t>
        </is>
      </c>
      <c r="G9" s="16" t="inlineStr">
        <is>
          <t>Teaching</t>
        </is>
      </c>
      <c r="H9" s="16" t="inlineStr">
        <is>
          <t>PUBLIC HOLIDAY: Fri 09 Oct 2026 is Uganda Independence Day. CML3112 (Tuesday) is UNAFFECTED and teaches normally on Tue 06 Oct. CML3113 and CML3111 both lose this session - it is the pandas week, and mitigation is mandatory. See Risk Register R1.</t>
        </is>
      </c>
    </row>
    <row r="10" ht="26" customHeight="1">
      <c r="A10" s="10" t="n">
        <v>6</v>
      </c>
      <c r="B10" s="11" t="inlineStr">
        <is>
          <t>Block 2 - Engineering Data</t>
        </is>
      </c>
      <c r="C10" s="11" t="inlineStr">
        <is>
          <t>Mon 12 Oct 2026</t>
        </is>
      </c>
      <c r="D10" s="11" t="inlineStr">
        <is>
          <t>Tue 13 Oct 2026</t>
        </is>
      </c>
      <c r="E10" s="11" t="inlineStr">
        <is>
          <t>Fri 16 Oct 2026</t>
        </is>
      </c>
      <c r="F10" s="11" t="inlineStr">
        <is>
          <t>Fri 16 Oct 2026</t>
        </is>
      </c>
      <c r="G10" s="11" t="inlineStr">
        <is>
          <t>Teaching</t>
        </is>
      </c>
      <c r="H10" s="11" t="inlineStr"/>
    </row>
    <row r="11" ht="44" customHeight="1">
      <c r="A11" s="17" t="n">
        <v>7</v>
      </c>
      <c r="B11" s="18" t="inlineStr">
        <is>
          <t>ASSESSMENT WEEK 1</t>
        </is>
      </c>
      <c r="C11" s="18" t="inlineStr">
        <is>
          <t>Mon 19 Oct 2026</t>
        </is>
      </c>
      <c r="D11" s="18" t="inlineStr">
        <is>
          <t>Tue 20 Oct 2026</t>
        </is>
      </c>
      <c r="E11" s="18" t="inlineStr">
        <is>
          <t>Fri 23 Oct 2026</t>
        </is>
      </c>
      <c r="F11" s="18" t="inlineStr">
        <is>
          <t>Fri 23 Oct 2026</t>
        </is>
      </c>
      <c r="G11" s="18" t="inlineStr">
        <is>
          <t>ASSESSMENT WEEK</t>
        </is>
      </c>
      <c r="H11" s="18" t="inlineStr">
        <is>
          <t>Practical Test 1 - Data Investigation (individual, offline, 2h25).</t>
        </is>
      </c>
    </row>
    <row r="12" ht="26" customHeight="1">
      <c r="A12" s="10" t="n">
        <v>8</v>
      </c>
      <c r="B12" s="11" t="inlineStr">
        <is>
          <t>Block 3 - The Machine Learning Core</t>
        </is>
      </c>
      <c r="C12" s="11" t="inlineStr">
        <is>
          <t>Mon 26 Oct 2026</t>
        </is>
      </c>
      <c r="D12" s="11" t="inlineStr">
        <is>
          <t>Tue 27 Oct 2026</t>
        </is>
      </c>
      <c r="E12" s="11" t="inlineStr">
        <is>
          <t>Fri 30 Oct 2026</t>
        </is>
      </c>
      <c r="F12" s="11" t="inlineStr">
        <is>
          <t>Fri 30 Oct 2026</t>
        </is>
      </c>
      <c r="G12" s="11" t="inlineStr">
        <is>
          <t>Teaching</t>
        </is>
      </c>
      <c r="H12" s="11" t="inlineStr"/>
    </row>
    <row r="13" ht="26" customHeight="1">
      <c r="A13" s="10" t="n">
        <v>9</v>
      </c>
      <c r="B13" s="11" t="inlineStr">
        <is>
          <t>Block 3 - The Machine Learning Core</t>
        </is>
      </c>
      <c r="C13" s="11" t="inlineStr">
        <is>
          <t>Mon 02 Nov 2026</t>
        </is>
      </c>
      <c r="D13" s="11" t="inlineStr">
        <is>
          <t>Tue 03 Nov 2026</t>
        </is>
      </c>
      <c r="E13" s="11" t="inlineStr">
        <is>
          <t>Fri 06 Nov 2026</t>
        </is>
      </c>
      <c r="F13" s="11" t="inlineStr">
        <is>
          <t>Fri 06 Nov 2026</t>
        </is>
      </c>
      <c r="G13" s="11" t="inlineStr">
        <is>
          <t>Teaching</t>
        </is>
      </c>
      <c r="H13" s="11" t="inlineStr"/>
    </row>
    <row r="14" ht="26" customHeight="1">
      <c r="A14" s="10" t="n">
        <v>10</v>
      </c>
      <c r="B14" s="11" t="inlineStr">
        <is>
          <t>Block 3 - The Machine Learning Core</t>
        </is>
      </c>
      <c r="C14" s="11" t="inlineStr">
        <is>
          <t>Mon 09 Nov 2026</t>
        </is>
      </c>
      <c r="D14" s="11" t="inlineStr">
        <is>
          <t>Tue 10 Nov 2026</t>
        </is>
      </c>
      <c r="E14" s="11" t="inlineStr">
        <is>
          <t>Fri 13 Nov 2026</t>
        </is>
      </c>
      <c r="F14" s="11" t="inlineStr">
        <is>
          <t>Fri 13 Nov 2026</t>
        </is>
      </c>
      <c r="G14" s="11" t="inlineStr">
        <is>
          <t>Teaching</t>
        </is>
      </c>
      <c r="H14" s="11" t="inlineStr"/>
    </row>
    <row r="15" ht="26" customHeight="1">
      <c r="A15" s="10" t="n">
        <v>11</v>
      </c>
      <c r="B15" s="11" t="inlineStr">
        <is>
          <t>Block 4 - Practical Machine Learning Judgement</t>
        </is>
      </c>
      <c r="C15" s="11" t="inlineStr">
        <is>
          <t>Mon 16 Nov 2026</t>
        </is>
      </c>
      <c r="D15" s="11" t="inlineStr">
        <is>
          <t>Tue 17 Nov 2026</t>
        </is>
      </c>
      <c r="E15" s="11" t="inlineStr">
        <is>
          <t>Fri 20 Nov 2026</t>
        </is>
      </c>
      <c r="F15" s="11" t="inlineStr">
        <is>
          <t>Fri 20 Nov 2026</t>
        </is>
      </c>
      <c r="G15" s="11" t="inlineStr">
        <is>
          <t>Teaching</t>
        </is>
      </c>
      <c r="H15" s="11" t="inlineStr"/>
    </row>
    <row r="16" ht="26" customHeight="1">
      <c r="A16" s="10" t="n">
        <v>12</v>
      </c>
      <c r="B16" s="11" t="inlineStr">
        <is>
          <t>Block 4 - Practical Machine Learning Judgement</t>
        </is>
      </c>
      <c r="C16" s="11" t="inlineStr">
        <is>
          <t>Mon 23 Nov 2026</t>
        </is>
      </c>
      <c r="D16" s="11" t="inlineStr">
        <is>
          <t>Tue 24 Nov 2026</t>
        </is>
      </c>
      <c r="E16" s="11" t="inlineStr">
        <is>
          <t>Fri 27 Nov 2026</t>
        </is>
      </c>
      <c r="F16" s="11" t="inlineStr">
        <is>
          <t>Fri 27 Nov 2026</t>
        </is>
      </c>
      <c r="G16" s="11" t="inlineStr">
        <is>
          <t>Teaching</t>
        </is>
      </c>
      <c r="H16" s="11" t="inlineStr"/>
    </row>
    <row r="17" ht="26" customHeight="1">
      <c r="A17" s="10" t="n">
        <v>13</v>
      </c>
      <c r="B17" s="11" t="inlineStr">
        <is>
          <t>Block 5 - Engineering Project</t>
        </is>
      </c>
      <c r="C17" s="11" t="inlineStr">
        <is>
          <t>Mon 30 Nov 2026</t>
        </is>
      </c>
      <c r="D17" s="11" t="inlineStr">
        <is>
          <t>Tue 01 Dec 2026</t>
        </is>
      </c>
      <c r="E17" s="11" t="inlineStr">
        <is>
          <t>Fri 04 Dec 2026</t>
        </is>
      </c>
      <c r="F17" s="11" t="inlineStr">
        <is>
          <t>Fri 04 Dec 2026</t>
        </is>
      </c>
      <c r="G17" s="11" t="inlineStr">
        <is>
          <t>Teaching</t>
        </is>
      </c>
      <c r="H17" s="11" t="inlineStr"/>
    </row>
    <row r="18" ht="44" customHeight="1">
      <c r="A18" s="17" t="n">
        <v>14</v>
      </c>
      <c r="B18" s="18" t="inlineStr">
        <is>
          <t>ASSESSMENT WEEK 2</t>
        </is>
      </c>
      <c r="C18" s="18" t="inlineStr">
        <is>
          <t>Mon 07 Dec 2026</t>
        </is>
      </c>
      <c r="D18" s="18" t="inlineStr">
        <is>
          <t>Tue 08 Dec 2026</t>
        </is>
      </c>
      <c r="E18" s="18" t="inlineStr">
        <is>
          <t>Fri 11 Dec 2026</t>
        </is>
      </c>
      <c r="F18" s="18" t="inlineStr">
        <is>
          <t>Fri 11 Dec 2026</t>
        </is>
      </c>
      <c r="G18" s="18" t="inlineStr">
        <is>
          <t>ASSESSMENT WEEK</t>
        </is>
      </c>
      <c r="H18" s="18" t="inlineStr">
        <is>
          <t>Practical Test 2 - End-to-End Engineering ML (individual, offline, 2h25).</t>
        </is>
      </c>
    </row>
    <row r="19" ht="44" customHeight="1">
      <c r="A19" s="7" t="n">
        <v>15</v>
      </c>
      <c r="B19" s="8" t="inlineStr">
        <is>
          <t>Block 5 - Engineering Project</t>
        </is>
      </c>
      <c r="C19" s="8" t="inlineStr">
        <is>
          <t>Mon 14 Dec 2026</t>
        </is>
      </c>
      <c r="D19" s="8" t="inlineStr">
        <is>
          <t>Tue 15 Dec 2026</t>
        </is>
      </c>
      <c r="E19" s="8" t="inlineStr">
        <is>
          <t>Fri 18 Dec 2026</t>
        </is>
      </c>
      <c r="F19" s="8" t="inlineStr">
        <is>
          <t>Fri 18 Dec 2026</t>
        </is>
      </c>
      <c r="G19" s="8" t="inlineStr">
        <is>
          <t>Teaching / Demo</t>
        </is>
      </c>
      <c r="H19" s="8" t="inlineStr">
        <is>
          <t>Engineering ML Demo Day, individual viva sampling, reflection.</t>
        </is>
      </c>
    </row>
    <row r="21">
      <c r="A21" s="4" t="inlineStr">
        <is>
          <t>Teaching weeks: 13.  Assessment weeks: 2 (Weeks 7 and 14).  Contact hours per cohort: 45. Total lecturer contact: 9 hours per week — 3 on Tuesday and SIX BACK-TO-BACK ON FRIDAY, 08:00 to 14:00 with a room change and no gap. See Risk R16.</t>
        </is>
      </c>
    </row>
    <row r="22">
      <c r="A22" s="19" t="inlineStr">
        <is>
          <t>Colour key:  red = assessment week ·  amber = action required ·  green = demo day.</t>
        </is>
      </c>
    </row>
  </sheetData>
  <mergeCells count="4">
    <mergeCell ref="A2:G2"/>
    <mergeCell ref="A21:H21"/>
    <mergeCell ref="A1:G1"/>
    <mergeCell ref="A22:H22"/>
  </mergeCell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O1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34" customWidth="1" min="3" max="3"/>
    <col width="62" customWidth="1" min="4" max="4"/>
    <col width="78" customWidth="1" min="5" max="5"/>
    <col width="56" customWidth="1" min="6" max="6"/>
    <col width="50" customWidth="1" min="7" max="7"/>
    <col width="56" customWidth="1" min="8" max="8"/>
    <col width="56" customWidth="1" min="9" max="9"/>
    <col width="44" customWidth="1" min="10" max="10"/>
    <col width="54" customWidth="1" min="11" max="11"/>
    <col width="40" customWidth="1" min="12" max="12"/>
    <col width="46" customWidth="1" min="13" max="13"/>
    <col width="66" customWidth="1" min="14" max="14"/>
    <col width="52" customWidth="1" min="15" max="15"/>
  </cols>
  <sheetData>
    <row r="1" ht="26" customHeight="1">
      <c r="A1" s="1" t="inlineStr">
        <is>
          <t>Master Plan — the shared 70% machine learning core</t>
        </is>
      </c>
    </row>
    <row r="2" ht="18" customHeight="1">
      <c r="A2" s="2" t="inlineStr">
        <is>
          <t>Taught identically to all three cohorts. Prepare once. The discipline overlay lives on the three cohort sheets.</t>
        </is>
      </c>
    </row>
    <row r="4" ht="40" customHeight="1">
      <c r="A4" s="6" t="inlineStr">
        <is>
          <t>Week</t>
        </is>
      </c>
      <c r="B4" s="6" t="inlineStr">
        <is>
          <t>Block / Phase</t>
        </is>
      </c>
      <c r="C4" s="6" t="inlineStr">
        <is>
          <t>Topic</t>
        </is>
      </c>
      <c r="D4" s="6" t="inlineStr">
        <is>
          <t>Learning objectives (by the end of the session, students can…)</t>
        </is>
      </c>
      <c r="E4" s="6" t="inlineStr">
        <is>
          <t>3-hour session structure</t>
        </is>
      </c>
      <c r="F4" s="6" t="inlineStr">
        <is>
          <t>Concepts introduced</t>
        </is>
      </c>
      <c r="G4" s="6" t="inlineStr">
        <is>
          <t>Tools introduced</t>
        </is>
      </c>
      <c r="H4" s="6" t="inlineStr">
        <is>
          <t>Practical / lab</t>
        </is>
      </c>
      <c r="I4" s="6" t="inlineStr">
        <is>
          <t>Interactive challenge</t>
        </is>
      </c>
      <c r="J4" s="6" t="inlineStr">
        <is>
          <t>Assignment</t>
        </is>
      </c>
      <c r="K4" s="6" t="inlineStr">
        <is>
          <t>Weekly quiz (QR, auto-graded)</t>
        </is>
      </c>
      <c r="L4" s="6" t="inlineStr">
        <is>
          <t>Project milestone</t>
        </is>
      </c>
      <c r="M4" s="6" t="inlineStr">
        <is>
          <t>Assessment relevance</t>
        </is>
      </c>
      <c r="N4" s="6" t="inlineStr">
        <is>
          <t>Lecturer preparation</t>
        </is>
      </c>
      <c r="O4" s="6" t="inlineStr">
        <is>
          <t>Required resources</t>
        </is>
      </c>
    </row>
    <row r="5" ht="200" customHeight="1">
      <c r="A5" s="10" t="n">
        <v>1</v>
      </c>
      <c r="B5" s="11" t="inlineStr">
        <is>
          <t>Block 1 - Orientation &amp; Computational Thinking</t>
        </is>
      </c>
      <c r="C5" s="11" t="inlineStr">
        <is>
          <t>The engineering problem that needs data</t>
        </is>
      </c>
      <c r="D5" s="11"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E5" s="11"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48-hour link and say so out loud.</t>
        </is>
      </c>
      <c r="F5" s="11"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G5" s="11"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H5" s="11"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t>
        </is>
      </c>
      <c r="I5" s="11" t="inlineStr">
        <is>
          <t>Problem Hunt (see structure). Deliberately unguided: no template, no worked example. The lecturer only asks questions.</t>
        </is>
      </c>
      <c r="J5" s="11" t="inlineStr">
        <is>
          <t>A1 (one page): 'Three problems, one dataset' - three candidate ML problems from their discipline, the data each would need, and where that data might come from. PLUS the environment install checklist to be completed before Week 2.</t>
        </is>
      </c>
      <c r="K5" s="11"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L5" s="11" t="inlineStr">
        <is>
          <t>Project teams formed and registered. Team charter signed (roles, contact, meeting slot, conflict rule).</t>
        </is>
      </c>
      <c r="M5" s="11" t="inlineStr">
        <is>
          <t>A1 contributes to Practical Challenges &amp; Assignments (10%). Marked pass / redo - the point is engagement, not polish.</t>
        </is>
      </c>
      <c r="N5" s="11"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t>
        </is>
      </c>
      <c r="O5" s="11" t="inlineStr">
        <is>
          <t>• Projector, whiteboard, marker pens, flipchart or A3 sheets.
• Printed dataset extracts, printed install guide, printed course outline.
• Laptop-access survey (paper, for 100% return).
• No student computers required this week - by design.</t>
        </is>
      </c>
    </row>
    <row r="6" ht="200" customHeight="1">
      <c r="A6" s="12" t="n">
        <v>2</v>
      </c>
      <c r="B6" s="13" t="inlineStr">
        <is>
          <t>Block 1 - Orientation &amp; Computational Thinking</t>
        </is>
      </c>
      <c r="C6" s="13" t="inlineStr">
        <is>
          <t>The development environment: where engineers actually write code</t>
        </is>
      </c>
      <c r="D6" s="13" t="inlineStr">
        <is>
          <t>• Install and verify Python and VS Code, or work confidently in the approved cloud fallback.
• Navigate the filesystem from a terminal and explain the working directory.
• Create and run both a .py script and a .ipynb notebook, and say when each is appropriate.
• Install a package and import it successfully.
• Create a repository, write a README, commit and push.
• Locate a dataset on Kaggle and read its description page.</t>
        </is>
      </c>
      <c r="E6" s="13" t="inlineStr">
        <is>
          <t>• 0:00-0:20  The tool map: seven tools, each introduced by the problem it solves (Where do I write code? Where do I experiment? Where do I get data? Where do I keep versions?). No tool is named before its problem.
• 0:20-1:00  Install and verification clinic, run as a relay: students who finish become 'floor helpers' with a badge. Lab machines and Google Colab are the two fallbacks so nobody spends the session watching a progress bar.
• 1:00-1:35  Terminal basics (pwd, ls, cd, mkdir) and the first script. Students write, save and run hello_engineering.py, then modify it to print a discipline-specific calculation.
• 1:35-2:15  First notebook: cells, markdown, execution order. The out-of-order-cell trap is demonstrated deliberately so students meet it here rather than in Week 14.
• 2:15-2:45  Git and GitHub: repo, README, first commit, push. Every student ends the session with a live URL.
• 2:45-3:00  CHALLENGE - Break and Fix, then assignment issued.
• LAST FIVE MINUTES — QUIZ 2 - notebooks and version control. Open the Form, project the QR, give it exactly five minutes, close it, and show the cohort's score distribution before they leave. Worth 1%, best 10 of 12 count, no resits. If the network is down, convert it to a 48-hour link and say so out loud.</t>
        </is>
      </c>
      <c r="F6" s="13" t="inlineStr">
        <is>
          <t>• Interpreter, script, package, package manager, virtual environment (light touch - one command, one explanation).
• Absolute vs relative path, working directory.
• Notebook kernel, cell execution order and hidden state.
• .py vs .ipynb: reproducible pipeline vs exploratory narrative.
• Repository, commit, push, README as the front door of a project.</t>
        </is>
      </c>
      <c r="G6" s="13" t="inlineStr">
        <is>
          <t>• Python 3.11+ and pip.
• VS Code with the Python and Jupyter extensions.
• Terminal / command line.
• Jupyter Notebook.
• Git and GitHub (repo, README, commit, push).
• Kaggle (navigation and dataset pages only).
• Google Colab - the declared fallback for students without a capable laptop.</t>
        </is>
      </c>
      <c r="H6" s="13" t="inlineStr">
        <is>
          <t>Lab 2 'Proof of life': verify the Python version, install pandas, import it, print its version, run one script and one notebook, and push all of it to a personal repository with a README that states the student's programme and one engineering problem they care about.</t>
        </is>
      </c>
      <c r="I6" s="13" t="inlineStr">
        <is>
          <t>Break and Fix. The lecturer distributes four pre-broken notebooks/environments - ModuleNotFoundError, wrong kernel selected, FileNotFoundError from a wrong relative path, and cells run out of order producing a wrong answer. Teams must diagnose and state the cause in one sentence each. This is the first lesson in reading errors instead of fearing them.</t>
        </is>
      </c>
      <c r="J6" s="13" t="inlineStr">
        <is>
          <t>A2 'Proof of Life' (brief written: setup/A2_assignment_brief.md): a repository containing the READY block from check_setup.py, the run notebook, their first script with one change they made and described, and a README. Due at the start of Week 3. Marked pass / merit / redo.</t>
        </is>
      </c>
      <c r="K6" s="13" t="inlineStr">
        <is>
          <t>QUIZ 2 - notebooks and version control
Out-of-order execution diagnosed from a cell-numbering trace, what Restart and Run All proves, and reading one git status output. The interpretation question asks the student to read their own setup output, which is what gives you the readiness signal before Week 3 starts depending on it.</t>
        </is>
      </c>
      <c r="L6" s="13" t="inlineStr">
        <is>
          <t>Team repository created on GitHub with all members as collaborators.</t>
        </is>
      </c>
      <c r="M6" s="13" t="inlineStr">
        <is>
          <t>A2 contributes to Practical Challenges &amp; Assignments (10%). Also the gate for Week 3 - a student without a working environment cannot progress, so the clinic continues in office hours.</t>
        </is>
      </c>
      <c r="N6" s="13" t="inlineStr">
        <is>
          <t>• THIS WEEK HAS ITS OWN DOCUMENT. Use the Week 2 Lecturer Runsheet, which supersedes the timings in this row: it starts the file copying at 0:00 before any teaching, because distributing the bundle - not installing it - is the real bottleneck. The Student Setup Guide is issued in Week 1 and the tested scripts are in the setup/ folder.
• CRITICAL: pre-download offline installers (Python, VS Code, extensions, pandas/numpy/matplotlib/seaborn/scikit-learn wheels) onto USB drives and the local network share. 100 simultaneous downloads will not work. Use setup/build_offline_bundle.sh.
• CRITICAL: fix ONE Python minor version for the whole course and make the USB installer, build_offline_bundle.sh and check_setup.py all agree. Wheels are tied to the minor version, and a mismatch cannot be fixed during the session.
• Prepare the four broken notebooks for Break and Fix.
• Pre-provision lab machines and test them with a student account, not an admin account.
• Create Colab fallback links and confirm they open on the campus network.
• Recruit and brief 6-8 floor helpers (strongest students from the Week 1 survey).</t>
        </is>
      </c>
      <c r="O6" s="13" t="inlineStr">
        <is>
          <t>• Computer lab or BYOD with power sockets - confirm socket count against class size.
• USB drives with offline installers; local network share.
• Printed one-page command cheat sheet (works when the projector fails).
• Floor-helper badges.
• Contingency: if bandwidth collapses, the session runs entirely on lab machines plus the printed cheat sheet.</t>
        </is>
      </c>
    </row>
    <row r="7" ht="200" customHeight="1">
      <c r="A7" s="10" t="n">
        <v>3</v>
      </c>
      <c r="B7" s="11" t="inlineStr">
        <is>
          <t>Block 1 - Orientation &amp; Computational Thinking</t>
        </is>
      </c>
      <c r="C7" s="11" t="inlineStr">
        <is>
          <t>Python as an engineering calculator</t>
        </is>
      </c>
      <c r="D7" s="11"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E7" s="11"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48-hour link and say so out loud.</t>
        </is>
      </c>
      <c r="F7" s="11"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G7" s="11"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H7" s="11" t="inlineStr">
        <is>
          <t>Discipline Function Library (see structure), committed to the team repository as functions.py plus a notebook that imports and demonstrates it. Core tier: 5 working functions. Stretch tier: add input validation that raises a clear error for physically impossible inputs.</t>
        </is>
      </c>
      <c r="I7" s="11" t="inlineStr">
        <is>
          <t>Wrong Answer Hunt - six silently wrong functions. Chosen because 'it ran, therefore it is right' is the single most dangerous belief a beginner can form, and it is fatal later in model evaluation.</t>
        </is>
      </c>
      <c r="J7" s="11" t="inlineStr">
        <is>
          <t>A3: functions.py with five documented, tested functions and a short notebook demonstrating each, pushed to the repository.</t>
        </is>
      </c>
      <c r="K7" s="11" t="inlineStr">
        <is>
          <t>QUIZ 3 - Python as an engineering calculator
A unit error that returns a plausible wrong number, a function that returns nothing because it prints instead, an if-chain whose branches are in the wrong order, and one traceback.</t>
        </is>
      </c>
      <c r="L7" s="11" t="inlineStr">
        <is>
          <t>Team repository has a working code file and a commit history with more than one contributor.</t>
        </is>
      </c>
      <c r="M7" s="11" t="inlineStr">
        <is>
          <t>A3 contributes to Practical Challenges &amp; Assignments (10%). Function-writing and traceback-reading are directly examined in Practical Test 1 (Week 7).</t>
        </is>
      </c>
      <c r="N7" s="11"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O7" s="11" t="inlineStr">
        <is>
          <t>• Computers, projector, printed formula sheet for the cohort.
• Printed Python syntax cheat sheet (one page, both sides).
• Wrong Answer Hunt notebook distributed offline via USB or the network share.</t>
        </is>
      </c>
    </row>
    <row r="8" ht="200" customHeight="1">
      <c r="A8" s="12" t="n">
        <v>4</v>
      </c>
      <c r="B8" s="13" t="inlineStr">
        <is>
          <t>Block 1 - Orientation &amp; Computational Thinking</t>
        </is>
      </c>
      <c r="C8" s="13" t="inlineStr">
        <is>
          <t>Python for problem solving: collections, loops and files</t>
        </is>
      </c>
      <c r="D8" s="13"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E8" s="13"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48-hour link and say so out loud.</t>
        </is>
      </c>
      <c r="F8" s="13"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G8" s="13" t="inlineStr">
        <is>
          <t>• The csv module and open() - deliberately no pandas yet.
• The VS Code debugger on a loop, to watch an accumulator fill.
• Git: incremental commits during the build.</t>
        </is>
      </c>
      <c r="H8" s="13" t="inlineStr">
        <is>
          <t>Reading Report script (see structure). Core tier: handle a clean file. Stretch tier: survive a file containing blank lines, a stray text value in a numeric column and a duplicated header row - which is exactly what Week 6 formalises.</t>
        </is>
      </c>
      <c r="I8" s="13"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J8" s="13" t="inlineStr">
        <is>
          <t>A4: the Reading Report script plus 150 words on the most interesting thing they found in the Investigation Lab file and why an engineer should care.</t>
        </is>
      </c>
      <c r="K8" s="13" t="inlineStr">
        <is>
          <t>QUIZ 4 - collections, loops and files
An accumulator reset inside the loop, a range off-by-one, a value read from a file as a string, and a skipped-row count that was never reported.</t>
        </is>
      </c>
      <c r="L8" s="13" t="inlineStr">
        <is>
          <t>Each team submits a one-paragraph statement of the kind of engineering problem it wants to work on for the semester (not yet a dataset).</t>
        </is>
      </c>
      <c r="M8" s="13" t="inlineStr">
        <is>
          <t>A4 contributes to Practical Challenges &amp; Assignments (10%). Investigation Lab 1 is the direct rehearsal for Practical Test 1 in Week 7 and establishes the no-spoon-feeding norm.</t>
        </is>
      </c>
      <c r="N8" s="13"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O8" s="13" t="inlineStr">
        <is>
          <t>• Computers, the Investigation Lab data file distributed offline.
• Printed question-bank cards.
• Timer visible to the room - the pitch round must not overrun.
• Flipchart for the findings pitches.</t>
        </is>
      </c>
    </row>
    <row r="9" ht="200" customHeight="1">
      <c r="A9" s="10" t="n">
        <v>5</v>
      </c>
      <c r="B9" s="11" t="inlineStr">
        <is>
          <t>Block 2 - Engineering Data</t>
        </is>
      </c>
      <c r="C9" s="11" t="inlineStr">
        <is>
          <t>NumPy and pandas: the engineer's data table, and where data comes from</t>
        </is>
      </c>
      <c r="D9" s="11"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E9" s="11"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48-hour link and say so out loud.</t>
        </is>
      </c>
      <c r="F9" s="11"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G9" s="11" t="inlineStr">
        <is>
          <t>• NumPy.
• pandas.
• Kaggle (search, dataset cards, download, public notebooks as worked examples).
• UCI Machine Learning Repository and the ucimlrepo package.
• Jupyter as the primary surface from this week onward.</t>
        </is>
      </c>
      <c r="H9" s="11" t="inlineStr">
        <is>
          <t>Twelve Questions interrogation notebook on the anchor dataset (see structure). Core tier: answer all twelve. Stretch tier: add two questions of their own and answer them.</t>
        </is>
      </c>
      <c r="I9" s="11" t="inlineStr">
        <is>
          <t>Ten Questions, No Help - a timed, unassisted interrogation of an unfamiliar dataset. Directly calibrates students against the Week 7 test format.</t>
        </is>
      </c>
      <c r="J9" s="11" t="inlineStr">
        <is>
          <t>A5: the Twelve Questions notebook, pushed with a README section describing the dataset's source and licence.</t>
        </is>
      </c>
      <c r="K9" s="11" t="inlineStr">
        <is>
          <t>QUIZ 5 - pandas and judging a dataset
A mask confused with a filtered frame, a groupby result whose shape is misread, a dtype of 'object' on a numeric column, and one question on where a dataset came from.</t>
        </is>
      </c>
      <c r="L9" s="11" t="inlineStr">
        <is>
          <t>DATA ANALYSIS PROJECT launched. Each team selects a dataset from the approved list (or proposes one for approval), and registers the engineering question it will answer.</t>
        </is>
      </c>
      <c r="M9" s="11" t="inlineStr">
        <is>
          <t>A5 contributes to Practical Challenges &amp; Assignments (10%). The Data Analysis Project is 10% in its own right. pandas fluency is the core of Practical Test 1 (Week 7).</t>
        </is>
      </c>
      <c r="N9" s="11"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O9" s="11"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row>
    <row r="10" ht="200" customHeight="1">
      <c r="A10" s="12" t="n">
        <v>6</v>
      </c>
      <c r="B10" s="13" t="inlineStr">
        <is>
          <t>Block 2 - Engineering Data</t>
        </is>
      </c>
      <c r="C10" s="13" t="inlineStr">
        <is>
          <t>Dirty data, and seeing it: data quality through visualisation</t>
        </is>
      </c>
      <c r="D10" s="13"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E10" s="13" t="inlineStr">
        <is>
          <t>• 0:00-0:30  Concept: real engineering data is broken, and the break is usually informative. Six defect classes are introduced with a physical story for each (a sensor that fails to zero, a technician who typed the units in, a duplicate export, a survey that was abandoned).
• 0:30-1:00  Demonstration: the same chart used twice - once to find a defect, once to report a finding. Missingness map, box plot for outliers, scatter for impossible relationships, correlation heatmap for redundancy.
• 1:00-2:10  PRACTICAL - Data Clinic. Students receive a deliberately damaged version of a familiar dataset and must find every defect, decide on and implement a handling strategy, and write one justifying sentence per decision. Marks are for the justification, not the fix.
• 2:10-2:45  CHALLENGE - The Outlier Argument. Teams get five flagged extreme values and must argue for each: measurement error to be removed, or real behaviour to be kept? They must commit and defend. There is no single right answer for two of the five, which is the point.
• 2:45-3:00  Data Analysis Project progress check and the 'every graph answers a question' rule restated as a marking criterion.
• LAST FIVE MINUTES — QUIZ 6 - dirty data, and seeing it. Open the Form, project the QR, give it exactly five minutes, close it, and show the cohort's score distribution before they leave. Worth 1%, best 10 of 12 count, no resits. If the network is down, convert it to a 48-hour link and say so out loud.</t>
        </is>
      </c>
      <c r="F10" s="13"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G10" s="13"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H10" s="13"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t>
        </is>
      </c>
      <c r="I10" s="13" t="inlineStr">
        <is>
          <t>The Outlier Argument - forces a judgement call with no lookup answer, and rewards domain reasoning over technique.</t>
        </is>
      </c>
      <c r="J10" s="13" t="inlineStr">
        <is>
          <t>A6: cleaning notebook, defect register, and data quality statement for the team's Data Analysis Project dataset.</t>
        </is>
      </c>
      <c r="K10" s="13" t="inlineStr">
        <is>
          <t>QUIZ 6 - dirty data, and seeing it
A zero-coded missing value, a chart that does not answer the stated question, and an extreme value that has to be judged as an error or a real measurement.</t>
        </is>
      </c>
      <c r="L10" s="13" t="inlineStr">
        <is>
          <t>Data Analysis Project: cleaned dataset and at least four question-driven charts committed to the repository.</t>
        </is>
      </c>
      <c r="M10" s="13" t="inlineStr">
        <is>
          <t>A6 contributes to Practical Challenges &amp; Assignments (10%). Cleaning judgement and chart quality are 40% of the Practical Test 1 rubric.</t>
        </is>
      </c>
      <c r="N10" s="13"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O10" s="13" t="inlineStr">
        <is>
          <t>• Computers; the damaged dataset offline; seaborn/matplotlib cheat sheet.
• Printed defect register template.
• Practical Test 1 information sheet and rubric for distribution.
• Colour printing or a good projector for the chart-quality comparison.</t>
        </is>
      </c>
    </row>
    <row r="11" ht="200" customHeight="1">
      <c r="A11" s="17" t="n">
        <v>7</v>
      </c>
      <c r="B11" s="18" t="inlineStr">
        <is>
          <t>ASSESSMENT WEEK 1</t>
        </is>
      </c>
      <c r="C11" s="18" t="inlineStr">
        <is>
          <t>PRACTICAL TEST 1 - Data Investigation (individual, offline)</t>
        </is>
      </c>
      <c r="D11" s="18"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writing, without tools.</t>
        </is>
      </c>
      <c r="E11" s="18"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no computer). Four short questions on their own submission: why that cleaning decision, what the chart does not show, what would change the conclusion, and what data is missing.
• 2:40-3:00  Collection, checksum of submissions, immediate structural check, dismissal.</t>
        </is>
      </c>
      <c r="F11" s="18" t="inlineStr">
        <is>
          <t>• No new concepts. Weeks 1-6 are examined: pandas, cleaning judgement, visualisation, engineering interpretation.
• Examined implicitly: the ability to proceed without instructions.</t>
        </is>
      </c>
      <c r="G11" s="18" t="inlineStr">
        <is>
          <t>• Permitted: Python, VS Code or Jupyter, pandas, NumPy, matplotlib, seaborn, and an OFFLINE documentation bundle.
• Prohibited: internet access, AI assistants, messaging, shared drives. The room runs offline - this is enforceable, which is why the test is designed this way.
• Rationale published to students in Week 6: AI is permitted and encouraged in projects, where the work is explained and defended; it is excluded from the two tests, which certify unaided capability.</t>
        </is>
      </c>
      <c r="H11" s="18" t="inlineStr">
        <is>
          <t>The test is the practical. Duration 2h00 practical + 0h25 written. Three parallel dataset variants are issued in a checkerboard seating pattern to remove any benefit from collusion.</t>
        </is>
      </c>
      <c r="I11" s="18" t="inlineStr">
        <is>
          <t>The entire assessment is the challenge: an unfamiliar dataset, no prescribed method, and marks awarded for reasoning as much as for result.</t>
        </is>
      </c>
      <c r="J11" s="18" t="inlineStr">
        <is>
          <t>None issued. Week 8 pre-reading only (a two-page primer on the idea of fitting a line), so the test week carries no homework load.</t>
        </is>
      </c>
      <c r="K11" s="18" t="inlineStr">
        <is>
          <t>—</t>
        </is>
      </c>
      <c r="L11" s="18" t="inlineStr">
        <is>
          <t>Data Analysis Project continues outside class; due Week 8.</t>
        </is>
      </c>
      <c r="M11" s="18" t="inlineStr">
        <is>
          <t>PRACTICAL TEST 1 = 15% of the Semester 1 mark. Individual. Rubric: profiling 15, cleaning decisions and justification 20, visualisation 20, findings correctness 20, engineering interpretation 15, notebook clarity and reproducibility 10.</t>
        </is>
      </c>
      <c r="N11" s="18"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O11" s="18" t="inlineStr">
        <is>
          <t>• Invigilated lab, offline. Confirmed machine count. Spare machines and a power contingency.
• USB drives or a local drop folder for collection.
• Printed task sheets (one per variant) and printed answer booklets for Part B.
• Second invigilator for any sitting above 40 students.
• Published rubric (issued Week 6).</t>
        </is>
      </c>
    </row>
    <row r="12" ht="200" customHeight="1">
      <c r="A12" s="12" t="n">
        <v>8</v>
      </c>
      <c r="B12" s="13" t="inlineStr">
        <is>
          <t>Block 3 - The Machine Learning Core</t>
        </is>
      </c>
      <c r="C12" s="13" t="inlineStr">
        <is>
          <t>Learning from data: the first model</t>
        </is>
      </c>
      <c r="D12" s="13"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E12" s="13"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48-hour link and say so out loud.</t>
        </is>
      </c>
      <c r="F12" s="13"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G12" s="13"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H12" s="13" t="inlineStr">
        <is>
          <t>First Model notebook (see structure). Core tier: a working, evaluated regression with the error stated in physical units. Stretch tier: a residual plot with a written interpretation of where the model is worst and a hypothesis as to why.</t>
        </is>
      </c>
      <c r="I12" s="13" t="inlineStr">
        <is>
          <t>Beat the Baseline. The baseline is the pedagogical device: it makes 'R-squared = 0.62' mean something, and it makes an unimpressive model an interesting result rather than a failure.</t>
        </is>
      </c>
      <c r="J12" s="13" t="inlineStr">
        <is>
          <t>A7: regression notebook including the baseline comparison, the error in physical units, and three sentences on whether an engineer should act on this model.</t>
        </is>
      </c>
      <c r="K12" s="13" t="inlineStr">
        <is>
          <t>QUIZ 7 - the first model
A score quoted on the training rows, a residual plot read the wrong way round, MAE against RMSE on the same data, and a baseline nobody computed.</t>
        </is>
      </c>
      <c r="L12" s="13" t="inlineStr">
        <is>
          <t>DATA ANALYSIS PROJECT DUE (10%). Engineering ML Project brief previewed; teams begin scoping.</t>
        </is>
      </c>
      <c r="M12" s="13" t="inlineStr">
        <is>
          <t>A7 contributes to Practical Challenges (10%). Data Analysis Project is submitted and marked (10%). Regression, metrics and train/test are core to Practical Test 2 (Week 14).</t>
        </is>
      </c>
      <c r="N12" s="13"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O12" s="13" t="inlineStr">
        <is>
          <t>• Computers; anchor dataset offline; projector.
• Leaderboard display.
• Printed sklearn API card (fit / predict / score / metrics).
• Marked or triaged Test 1 scripts for the debrief.</t>
        </is>
      </c>
    </row>
    <row r="13" ht="200" customHeight="1">
      <c r="A13" s="10" t="n">
        <v>9</v>
      </c>
      <c r="B13" s="11" t="inlineStr">
        <is>
          <t>Block 3 - The Machine Learning Core</t>
        </is>
      </c>
      <c r="C13" s="11" t="inlineStr">
        <is>
          <t>Classification: predicting which category a case belongs to</t>
        </is>
      </c>
      <c r="D13" s="11"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E13" s="11"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48-hour link and say so out loud.</t>
        </is>
      </c>
      <c r="F13" s="11"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G13" s="11" t="inlineStr">
        <is>
          <t>• scikit-learn: LogisticRegression, DecisionTreeClassifier, RandomForestClassifier, confusion_matrix, ConfusionMatrixDisplay, classification_report, plot_tree.
• seaborn for the confusion matrix heatmap.
• pandas for the cost table.</t>
        </is>
      </c>
      <c r="H13" s="11"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t>
        </is>
      </c>
      <c r="I13" s="11" t="inlineStr">
        <is>
          <t>The 97% Trap. Deliberately adversarial. It inoculates students against the single most common failure in applied ML, and it is a low-guidance session by design.</t>
        </is>
      </c>
      <c r="J13" s="11" t="inlineStr">
        <is>
          <t>A8: classification notebook with the cost table and the metric recommendation.</t>
        </is>
      </c>
      <c r="K13" s="11" t="inlineStr">
        <is>
          <t>QUIZ 8 - classification
A confusion matrix read for what the model does badly, an accuracy figure quoted without the class balance, and a threshold moved with its effect on each cell.</t>
        </is>
      </c>
      <c r="L13" s="11" t="inlineStr">
        <is>
          <t>ENGINEERING ML PROJECT launched (25%, runs to Week 15). Teams must register a problem statement, a candidate dataset and a named target variable by Week 10.</t>
        </is>
      </c>
      <c r="M13" s="11" t="inlineStr">
        <is>
          <t>A8 contributes to Practical Challenges (10%). The Engineering ML Project brief and rubric are now live. Classification and metric choice are examined in Practical Test 2.</t>
        </is>
      </c>
      <c r="N13" s="11"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O13" s="11"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row>
    <row r="14" ht="200" customHeight="1">
      <c r="A14" s="12" t="n">
        <v>10</v>
      </c>
      <c r="B14" s="13" t="inlineStr">
        <is>
          <t>Block 3 - The Machine Learning Core</t>
        </is>
      </c>
      <c r="C14" s="13" t="inlineStr">
        <is>
          <t>Can I trust this model?</t>
        </is>
      </c>
      <c r="D14" s="13"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E14" s="13"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48-hour link and say so out loud.</t>
        </is>
      </c>
      <c r="F14" s="13"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G14" s="13"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H14" s="13"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I14" s="13" t="inlineStr">
        <is>
          <t>Too Good To Be True. Three different planted causes across the room, so teams cannot copy a diagnosis. This is the highest-value single exercise in the semester: leakage is the defect most likely to appear in student projects and in professional practice.</t>
        </is>
      </c>
      <c r="J14" s="13" t="inlineStr">
        <is>
          <t>A9: Trust Lab notebook plus a 'conditions of use' paragraph for the team's project model.</t>
        </is>
      </c>
      <c r="K14" s="13"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L14" s="13" t="inlineStr">
        <is>
          <t>PROJECT MILESTONE 1 (graded milestone): problem statement, dataset with licence, named target, and a baseline notebook. Each member's contribution log must be present in the repository.</t>
        </is>
      </c>
      <c r="M14" s="13" t="inlineStr">
        <is>
          <t>A9 contributes to Practical Challenges (10%). PM1 is a graded milestone within the Engineering ML Project (25%). Validation carries 15 of the 100 marks in the project rubric, and leakage control carries 20 of the 100 marks in the Practical Test 2 rubric.</t>
        </is>
      </c>
      <c r="N14" s="13"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O14" s="13" t="inlineStr">
        <is>
          <t>• Computers; the three challenge notebooks offline; projector.
• Printed PM1 checklist and contribution log template.
• Printed leakage taxonomy card (four kinds, one example each).
• Timer for the PM1 stand-ups.</t>
        </is>
      </c>
    </row>
    <row r="15" ht="200" customHeight="1">
      <c r="A15" s="10" t="n">
        <v>11</v>
      </c>
      <c r="B15" s="11" t="inlineStr">
        <is>
          <t>Block 4 - Practical Machine Learning Judgement</t>
        </is>
      </c>
      <c r="C15" s="11" t="inlineStr">
        <is>
          <t>Features: where engineering knowledge enters the model</t>
        </is>
      </c>
      <c r="D15" s="11"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E15" s="11"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48-hour link and say so out loud.</t>
        </is>
      </c>
      <c r="F15" s="11"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G15" s="11"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H15" s="11"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t>
        </is>
      </c>
      <c r="I15" s="11" t="inlineStr">
        <is>
          <t>Domain Advantage - a controlled experiment run by the students on themselves, comparing raw data plus a better algorithm against domain knowledge plus a simple algorithm.</t>
        </is>
      </c>
      <c r="J15" s="11" t="inlineStr">
        <is>
          <t>A10: feature dictionary and ablation table for the team's project dataset.</t>
        </is>
      </c>
      <c r="K15" s="11" t="inlineStr">
        <is>
          <t>QUIZ 10 - features
An ablation table read for which feature earned its place, a one-hot encoding on a high-cardinality column, and a scaler that made no difference to a tree.</t>
        </is>
      </c>
      <c r="L15" s="11" t="inlineStr">
        <is>
          <t>PROJECT MILESTONE 2 briefed this week and due at the start of Week 12 (graded milestone): cleaned dataset, feature dictionary, and a first properly evaluated model inside a Pipeline.</t>
        </is>
      </c>
      <c r="M15" s="11" t="inlineStr">
        <is>
          <t>A10 contributes to Practical Challenges (10%). PM2 is a graded milestone within the project (25%). Engineering reasoning carries 20 of the 100 project marks, and feature construction is where it is most visible.</t>
        </is>
      </c>
      <c r="N15" s="11"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O15" s="11"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row>
    <row r="16" ht="200" customHeight="1">
      <c r="A16" s="12" t="n">
        <v>12</v>
      </c>
      <c r="B16" s="13" t="inlineStr">
        <is>
          <t>Block 4 - Practical Machine Learning Judgement</t>
        </is>
      </c>
      <c r="C16" s="13" t="inlineStr">
        <is>
          <t>Model comparison and engineering judgement (low-guidance week)</t>
        </is>
      </c>
      <c r="D16" s="13"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E16" s="13"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0:55-2:25  ENGINEERING AI CHALLENGE - Choose a Model and Defend It. Teams receive an unfamiliar dataset and a brief from a fictional client. They must run at least four candidate models under an identical protocol, tabulate the results, and produce a one-page recommendation. The lecturer circulates with the question bank and gives no answers for the full 90 minutes.
• 2:25-2:40  DEFENCE ROUND. Each team presents its recommendation to another team, whose job is to attack it. Two challenges must be raised and answered. The lecturer marks the quality of the challenges as well as the defences.
• 2:55-3:00  WEEKLY QUIZ. Five questions, five minutes, opened by QR on the projector. Two of the five are drawn from the Week 1-10 banks.
• 2:55-3:00  Project Milestone 3 briefing.
• LAST FIVE MINUTES — QUIZ 11 - model comparison (integrative). Open the Form, project the QR, give it exactly five minutes, close it, and show the cohort's score distribution before they leave. Worth 1%, best 10 of 12 count, no resits. If the network is down, convert it to a 48-hour link and say so out loud.</t>
        </is>
      </c>
      <c r="F16" s="13"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G16" s="13"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H16" s="13"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I16" s="13" t="inlineStr">
        <is>
          <t>Choose a Model and Defend It, plus the adversarial Defence Round. This is the week that most directly rehearses professional engineering practice, and the least guided session before the test.</t>
        </is>
      </c>
      <c r="J16" s="13" t="inlineStr">
        <is>
          <t>A11 (graded in-session): the one-page recommendation. This is the last of the eleven practical challenges.</t>
        </is>
      </c>
      <c r="K16" s="13"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L16" s="13" t="inlineStr">
        <is>
          <t>PROJECT MILESTONE 3 briefed this week and due at the start of Week 13 (graded milestone): a model comparison table for the team's own project, with a justified selection.</t>
        </is>
      </c>
      <c r="M16" s="13" t="inlineStr">
        <is>
          <t>A11 contributes to Practical Challenges (10%) and is graded in-session. PM3 is a graded milestone within the project (25%). This session is the closest rehearsal for Practical Test 2.</t>
        </is>
      </c>
      <c r="N16" s="13"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90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O16" s="13" t="inlineStr">
        <is>
          <t>• Computers; challenge dataset offline; printed client briefs.
• Printed question-bank cards and recommendation template.
• Room layout allowing team-to-team defence (movable seating strongly preferred).
• Timer and a visible protocol poster.</t>
        </is>
      </c>
    </row>
    <row r="17" ht="200" customHeight="1">
      <c r="A17" s="10" t="n">
        <v>13</v>
      </c>
      <c r="B17" s="11" t="inlineStr">
        <is>
          <t>Block 5 - Engineering Project</t>
        </is>
      </c>
      <c r="C17" s="11" t="inlineStr">
        <is>
          <t>Project studio: reproducibility, communication and peer review</t>
        </is>
      </c>
      <c r="D17" s="11"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E17" s="11"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1:00-2:25  STUDIO. Teams build. The lecturer runs timed clinic slots on a booked rotation (see preparation - this is the session that fails without a booking sheet). Teams not in a clinic slot work or peer-review.
• 2:25-2:40  PEER REVIEW ROUND. Each team reviews another team's repository against the project rubric and returns a written review naming two strengths and two specific fixes.
• 2:55-3:00  WEEKLY QUIZ, the last of the twelve. Five questions, five minutes; two are drawn from the earlier banks.
• 2:55-3:00  Practical Test 2 briefing: format, rules, offline mode, rubric restated.
• LAST FIVE MINUTES — QUIZ 12 - reproducibility (integrative). Open the Form, project the QR, give it exactly five minutes, close it, and show the cohort's score distribution before they leave. Worth 1%, best 10 of 12 count, no resits. If the network is down, convert it to a 48-hour link and say so out loud.</t>
        </is>
      </c>
      <c r="F17" s="11"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G17" s="11"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H17" s="11" t="inlineStr">
        <is>
          <t>Studio build plus the peer review round. Deliverable: a repository that passes restart-and-run-all, a complete README, requirements.txt, a contribution log, and a received peer review with a written response to it.</t>
        </is>
      </c>
      <c r="I17" s="11" t="inlineStr">
        <is>
          <t>The peer review itself. Teams discover that reviewing is harder than building, and they find their own defects in someone else's repository.</t>
        </is>
      </c>
      <c r="J17" s="11" t="inlineStr">
        <is>
          <t>No new assignment - project work only, deliberately, so the week before the test carries no extra load.</t>
        </is>
      </c>
      <c r="K17" s="11" t="inlineStr">
        <is>
          <t>QUIZ 12 - reproducibility (integrative)
A notebook that will not run on another machine, a hard-coded path, and a seed that was never set. TWO of the five are drawn from earlier banks. Run it before the peer review round so it does not compete with studio time.</t>
        </is>
      </c>
      <c r="L17" s="11" t="inlineStr">
        <is>
          <t>PROJECT MILESTONE 4: repository freeze candidate, restart-and-run-all passing, peer review received and responded to.</t>
        </is>
      </c>
      <c r="M17" s="11" t="inlineStr">
        <is>
          <t>PM4 feeds the Reproducibility and documentation (5%) and Communication (10%) criteria of the project rubric, and the whole session prepares the Week 15 demo. Practical Test 2 is briefed here.</t>
        </is>
      </c>
      <c r="N17" s="11" t="inlineStr">
        <is>
          <t>• BUILD THE CLINIC BOOKING SHEET. With ~22 teams in Cohort A, 100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O17" s="11" t="inlineStr">
        <is>
          <t>• Computers; movable seating; printed clinic booking sheet and repository checklist.
• Printed peer review forms.
• Two assistants or floor helpers if the cohort exceeds 60 students.
• Practical Test 2 information sheet.</t>
        </is>
      </c>
    </row>
    <row r="18" ht="200" customHeight="1">
      <c r="A18" s="17" t="n">
        <v>14</v>
      </c>
      <c r="B18" s="18" t="inlineStr">
        <is>
          <t>ASSESSMENT WEEK 2</t>
        </is>
      </c>
      <c r="C18" s="18" t="inlineStr">
        <is>
          <t>PRACTICAL TEST 2 - End-to-End Engineering Machine Learning (individual, offline)</t>
        </is>
      </c>
      <c r="D18" s="18"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E18" s="18"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no computer). Why this metric. Where could this pipeline leak. What would change your recommendation. Would you deploy this, and what would you require first.
• 2:40-3:00  Collection, structural check, dismissal. Week 15 demo running order confirmed.</t>
        </is>
      </c>
      <c r="F18" s="18" t="inlineStr">
        <is>
          <t>• No new concepts. Weeks 8-13 are examined: supervised learning, validation, leakage, features, model comparison and engineering interpretation.</t>
        </is>
      </c>
      <c r="G18" s="18"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H18" s="18" t="inlineStr">
        <is>
          <t>The test is the practical. Duration 2h00 practical + 0h25 written. Three parallel dataset variants in a checkerboard seating pattern.</t>
        </is>
      </c>
      <c r="I18" s="18" t="inlineStr">
        <is>
          <t>The whole assessment. An unfamiliar dataset, no prescribed method, and a rubric that awards more marks for reasoning and interpretation than for the score achieved.</t>
        </is>
      </c>
      <c r="J18" s="18" t="inlineStr">
        <is>
          <t>None. Final project preparation only.</t>
        </is>
      </c>
      <c r="K18" s="18" t="inlineStr">
        <is>
          <t>—</t>
        </is>
      </c>
      <c r="L18" s="18" t="inlineStr">
        <is>
          <t>Engineering ML Project: final build week outside class. Repository and two-page brief due at the Week 15 session.</t>
        </is>
      </c>
      <c r="M18" s="18" t="inlineStr">
        <is>
          <t>PRACTICAL TEST 2 = 20% of the Semester 1 mark. Individual. Rubric: task framing 10, data preparation and leakage control 20, modelling protocol 20, evaluation and metric justification 20, engineering interpretation and limits 20, code clarity 10.</t>
        </is>
      </c>
      <c r="N18" s="18"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and the individual viva question tally sheet.</t>
        </is>
      </c>
      <c r="O18" s="18" t="inlineStr">
        <is>
          <t>• Invigilated offline lab; confirmed machine count; spare machines; power contingency.
• USB or local drop folder collection.
• Printed task sheets per variant; printed Part B booklets.
• Second invigilator for any sitting above 40 students.
• Rubric published in Week 11.</t>
        </is>
      </c>
    </row>
    <row r="19" ht="200" customHeight="1">
      <c r="A19" s="10" t="n">
        <v>15</v>
      </c>
      <c r="B19" s="11" t="inlineStr">
        <is>
          <t>Block 5 - Engineering Project</t>
        </is>
      </c>
      <c r="C19" s="11" t="inlineStr">
        <is>
          <t>Engineering ML Demo Day, individual viva and reflection</t>
        </is>
      </c>
      <c r="D19" s="11"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E19" s="11" t="inlineStr">
        <is>
          <t>• 0:00-0:10  Running order, rules, and the marking process explained.
• 0:10-2:20  DEMO FAIR, two rounds. Teams present at stations (laptop plus a one-page poster) while the lecturer and invited staff circulate. Every team presents to at least four peer assessors. Format scales: large cohorts run the fair plus a shortlist of six plenary demos; cohorts of ten to twelve teams present in plenary throughout.
•    (inside the fair)  INDIVIDUAL VIVA SAMPLING. While the fair runs, every student is asked two questions from the viva bank about their own repository, recorded on a tally sheet. Ninety seconds each. This is the mechanism that makes a team mark individually accountable.
• 2:20-2:40  PLENARY: shortlisted demos and the award of recognition (Best Engineering Reasoning, Best Investigation, Most Honest Limitations - deliberately not 'Highest Accuracy').
• 2:40-2:55  Feedback synthesis: what the cohort achieved, measured against the Week 1 promise. Semester 2 preview.
• 2:55-3:00  Individual reflection submitted.</t>
        </is>
      </c>
      <c r="F19" s="11"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G19" s="11" t="inlineStr">
        <is>
          <t>• Whatever the project required - the tool list is now the students' choice, which is itself the outcome being demonstrated.
• Optional and encouraged: a Streamlit interface, for teams who went beyond the brief.
• GitHub as the submission surface; the repository URL is the deliverable.</t>
        </is>
      </c>
      <c r="H19" s="11" t="inlineStr">
        <is>
          <t>The demonstration is the assessment. Deliverables due at the start of the session: repository URL, two-page engineering brief, one-page poster, AI-use declaration, individual contribution log, and a 500-word individual reflection.</t>
        </is>
      </c>
      <c r="I19" s="11" t="inlineStr">
        <is>
          <t>The viva. Two unseen questions about their own work, answered on the spot, with no preparation and no tools.</t>
        </is>
      </c>
      <c r="J19" s="11" t="inlineStr">
        <is>
          <t>None. Semester 2 pre-reading and an optional holiday challenge are issued for students who want to keep going.</t>
        </is>
      </c>
      <c r="K19" s="11" t="inlineStr">
        <is>
          <t>—</t>
        </is>
      </c>
      <c r="L19" s="11" t="inlineStr">
        <is>
          <t>ENGINEERING ML PROJECT FINAL SUBMISSION (25%). Demo, viva and reflection (10%).</t>
        </is>
      </c>
      <c r="M19" s="11" t="inlineStr">
        <is>
          <t>Engineering ML Project 25% - rubric: problem definition 15, data understanding 15, methodology 20, engineering reasoning 20, validation 15, communication 10, reproducibility and documentation 5. Demo, viva and individual reflection 10%. Peer assessment is advisory and moderated by the lecturer, never used raw.</t>
        </is>
      </c>
      <c r="N19" s="11" t="inlineStr">
        <is>
          <t>• Invite Faculty staff and, if possible, one external practising engineer as assessors - it raises the standard of every submission more than any amount of exhortation.
• Build the viva question bank (twenty questions keyed to the repository, not to the topic) and the tally sheet.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O19" s="11" t="inlineStr">
        <is>
          <t>• Fair-capable room with power at the perimeter; poster stands or tape.
• Invited assessors and printed assessor packs with the rubric.
• Printed viva tally sheets and peer assessment forms.
• Certificates for the three recognitions.
• Camera to record demos for the programme's own portfolio, with student consent.</t>
        </is>
      </c>
    </row>
  </sheetData>
  <autoFilter ref="A4:O19"/>
  <mergeCells count="2">
    <mergeCell ref="A2:N2"/>
    <mergeCell ref="A1:N1"/>
  </mergeCells>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V19"/>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27" customWidth="1" min="4" max="4"/>
    <col width="9" customWidth="1" min="5" max="5"/>
    <col width="12" customWidth="1" min="6" max="6"/>
    <col width="40" customWidth="1" min="7" max="7"/>
    <col width="34" customWidth="1" min="8" max="8"/>
    <col width="62" customWidth="1" min="9" max="9"/>
    <col width="78" customWidth="1" min="10" max="10"/>
    <col width="56" customWidth="1" min="11" max="11"/>
    <col width="50" customWidth="1" min="12" max="12"/>
    <col width="60" customWidth="1" min="13" max="13"/>
    <col width="60" customWidth="1" min="14" max="14"/>
    <col width="56" customWidth="1" min="15" max="15"/>
    <col width="44" customWidth="1" min="16" max="16"/>
    <col width="54" customWidth="1" min="17" max="17"/>
    <col width="40" customWidth="1" min="18" max="18"/>
    <col width="46" customWidth="1" min="19" max="19"/>
    <col width="70" customWidth="1" min="20" max="20"/>
    <col width="52" customWidth="1" min="21" max="21"/>
    <col width="46" customWidth="1" min="22" max="22"/>
  </cols>
  <sheetData>
    <row r="1" ht="26" customHeight="1">
      <c r="A1" s="1" t="inlineStr">
        <is>
          <t>Cohort A — Introduction to Machine Learning in Design &amp; Infrastructure</t>
        </is>
      </c>
    </row>
    <row r="2" ht="18" customHeight="1">
      <c r="A2" s="2" t="inlineStr">
        <is>
          <t>Civil Engineering + Architecture · ~100 students (est. 22 project teams of 4-5) · one 3-hour session per week · 45 contact hours · TUESDAY 11:00-14:00, Room 106</t>
        </is>
      </c>
    </row>
    <row r="4" ht="44" customHeight="1">
      <c r="A4" s="6" t="inlineStr">
        <is>
          <t>Week</t>
        </is>
      </c>
      <c r="B4" s="6" t="inlineStr">
        <is>
          <t>Block / Phase</t>
        </is>
      </c>
      <c r="C4" s="6" t="inlineStr">
        <is>
          <t>Week commencing</t>
        </is>
      </c>
      <c r="D4" s="6" t="inlineStr">
        <is>
          <t>Session date · time · room</t>
        </is>
      </c>
      <c r="E4" s="6" t="inlineStr">
        <is>
          <t>Cohort</t>
        </is>
      </c>
      <c r="F4" s="6" t="inlineStr">
        <is>
          <t>Course code</t>
        </is>
      </c>
      <c r="G4" s="6" t="inlineStr">
        <is>
          <t>Course title</t>
        </is>
      </c>
      <c r="H4" s="6" t="inlineStr">
        <is>
          <t>Topic</t>
        </is>
      </c>
      <c r="I4" s="6" t="inlineStr">
        <is>
          <t>Learning objectives (by the end of the session, students can…)</t>
        </is>
      </c>
      <c r="J4" s="6" t="inlineStr">
        <is>
          <t>3-hour session structure</t>
        </is>
      </c>
      <c r="K4" s="6" t="inlineStr">
        <is>
          <t>Concepts introduced</t>
        </is>
      </c>
      <c r="L4" s="6" t="inlineStr">
        <is>
          <t>Tools introduced</t>
        </is>
      </c>
      <c r="M4" s="6" t="inlineStr">
        <is>
          <t>Practical / lab</t>
        </is>
      </c>
      <c r="N4" s="6" t="inlineStr">
        <is>
          <t>Dataset(s)</t>
        </is>
      </c>
      <c r="O4" s="6" t="inlineStr">
        <is>
          <t>Interactive challenge</t>
        </is>
      </c>
      <c r="P4" s="6" t="inlineStr">
        <is>
          <t>Assignment (due next session)</t>
        </is>
      </c>
      <c r="Q4" s="6" t="inlineStr">
        <is>
          <t>Weekly quiz (QR, auto-graded)</t>
        </is>
      </c>
      <c r="R4" s="6" t="inlineStr">
        <is>
          <t>Project milestone</t>
        </is>
      </c>
      <c r="S4" s="6" t="inlineStr">
        <is>
          <t>Assessment relevance</t>
        </is>
      </c>
      <c r="T4" s="6" t="inlineStr">
        <is>
          <t>Lecturer preparation</t>
        </is>
      </c>
      <c r="U4" s="6" t="inlineStr">
        <is>
          <t>Required resources</t>
        </is>
      </c>
      <c r="V4" s="6" t="inlineStr">
        <is>
          <t>Shared vs cohort-specific</t>
        </is>
      </c>
    </row>
    <row r="5" ht="220" customHeight="1">
      <c r="A5" s="10" t="n">
        <v>1</v>
      </c>
      <c r="B5" s="11" t="inlineStr">
        <is>
          <t>Block 1 - Orientation &amp; Computational Thinking</t>
        </is>
      </c>
      <c r="C5" s="11" t="inlineStr">
        <is>
          <t>Mon 07 Sep 2026</t>
        </is>
      </c>
      <c r="D5" s="11" t="inlineStr">
        <is>
          <t>Tue 08 Sep 2026
11:00-14:00 · Room 106</t>
        </is>
      </c>
      <c r="E5" s="11" t="inlineStr">
        <is>
          <t>Cohort A</t>
        </is>
      </c>
      <c r="F5" s="11" t="inlineStr">
        <is>
          <t>CML3112</t>
        </is>
      </c>
      <c r="G5" s="11" t="inlineStr">
        <is>
          <t>Introduction to Machine Learning in Design &amp; Infrastructure</t>
        </is>
      </c>
      <c r="H5" s="11" t="inlineStr">
        <is>
          <t>The engineering problem that needs data</t>
        </is>
      </c>
      <c r="I5" s="11"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11"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48-hour link and say so out loud.</t>
        </is>
      </c>
      <c r="K5" s="11"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11"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11"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A FRAMING: Framing question for the cohort: 'Can we estimate the 28-day compressive strength of a mix without casting and crushing another cylinder?' Second framing question for the architecture students: 'Can we estimate a building's heating load from its geometry and glazing before it is built?'</t>
        </is>
      </c>
      <c r="N5" s="11" t="inlineStr">
        <is>
          <t>Printed 12-row extract of Concrete Compressive Strength (UCI 165): cement, slag, fly ash, water, superplasticiser, coarse and fine aggregate, age -&gt; compressive strength in MPa. Row 13's strength is withheld for the hand-prediction exercise.</t>
        </is>
      </c>
      <c r="O5" s="11" t="inlineStr">
        <is>
          <t>Problem Hunt (see structure). Deliberately unguided: no template, no worked example. The lecturer only asks questions.</t>
        </is>
      </c>
      <c r="P5" s="11" t="inlineStr">
        <is>
          <t>A1 (one page): 'Three problems, one dataset' - three candidate ML problems from their discipline, the data each would need, and where that data might come from. PLUS the environment install checklist to be completed before Week 2.</t>
        </is>
      </c>
      <c r="Q5" s="11"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11" t="inlineStr">
        <is>
          <t>Project teams formed and registered. Team charter signed (roles, contact, meeting slot, conflict rule).</t>
        </is>
      </c>
      <c r="S5" s="11" t="inlineStr">
        <is>
          <t>A1 contributes to Practical Challenges &amp; Assignments (10%). Marked pass / redo - the point is engagement, not polish.</t>
        </is>
      </c>
      <c r="T5" s="11"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A: Problem Hunt prompt cards for construction, structures, materials, building performance, infrastructure inspection and design optimisation.</t>
        </is>
      </c>
      <c r="U5" s="11" t="inlineStr">
        <is>
          <t>• Projector, whiteboard, marker pens, flipchart or A3 sheets.
• Printed dataset extracts, printed install guide, printed course outline.
• Laptop-access survey (paper, for 100% return).
• No student computers required this week - by design.</t>
        </is>
      </c>
      <c r="V5" s="11" t="inlineStr">
        <is>
          <t>DIVERGENT: anchor dataset, framing questions, Problem Hunt prompts. SHARED: everything else.</t>
        </is>
      </c>
    </row>
    <row r="6" ht="220" customHeight="1">
      <c r="A6" s="12" t="n">
        <v>2</v>
      </c>
      <c r="B6" s="13" t="inlineStr">
        <is>
          <t>Block 1 - Orientation &amp; Computational Thinking</t>
        </is>
      </c>
      <c r="C6" s="13" t="inlineStr">
        <is>
          <t>Mon 14 Sep 2026</t>
        </is>
      </c>
      <c r="D6" s="13" t="inlineStr">
        <is>
          <t>Tue 15 Sep 2026
11:00-14:00 · Room 106</t>
        </is>
      </c>
      <c r="E6" s="13" t="inlineStr">
        <is>
          <t>Cohort A</t>
        </is>
      </c>
      <c r="F6" s="13" t="inlineStr">
        <is>
          <t>CML3112</t>
        </is>
      </c>
      <c r="G6" s="13" t="inlineStr">
        <is>
          <t>Introduction to Machine Learning in Design &amp; Infrastructure</t>
        </is>
      </c>
      <c r="H6" s="13" t="inlineStr">
        <is>
          <t>The development environment: where engineers actually write code</t>
        </is>
      </c>
      <c r="I6" s="13" t="inlineStr">
        <is>
          <t>• Install and verify Python and VS Code, or work confidently in the approved cloud fallback.
• Navigate the filesystem from a terminal and explain the working directory.
• Create and run both a .py script and a .ipynb notebook, and say when each is appropriate.
• Install a package and import it successfully.
• Create a repository, write a README, commit and push.
• Locate a dataset on Kaggle and read its description page.</t>
        </is>
      </c>
      <c r="J6" s="13" t="inlineStr">
        <is>
          <t>• 0:00-0:20  The tool map: seven tools, each introduced by the problem it solves (Where do I write code? Where do I experiment? Where do I get data? Where do I keep versions?). No tool is named before its problem.
• 0:20-1:00  Install and verification clinic, run as a relay: students who finish become 'floor helpers' with a badge. Lab machines and Google Colab are the two fallbacks so nobody spends the session watching a progress bar.
• 1:00-1:35  Terminal basics (pwd, ls, cd, mkdir) and the first script. Students write, save and run hello_engineering.py, then modify it to print a discipline-specific calculation.
• 1:35-2:15  First notebook: cells, markdown, execution order. The out-of-order-cell trap is demonstrated deliberately so students meet it here rather than in Week 14.
• 2:15-2:45  Git and GitHub: repo, README, first commit, push. Every student ends the session with a live URL.
• 2:45-3:00  CHALLENGE - Break and Fix, then assignment issued.
• LAST FIVE MINUTES — QUIZ 2 - notebooks and version control. Open the Form, project the QR, give it exactly five minutes, close it, and show the cohort's score distribution before they leave. Worth 1%, best 10 of 12 count, no resits. If the network is down, convert it to a 48-hour link and say so out loud.</t>
        </is>
      </c>
      <c r="K6" s="13" t="inlineStr">
        <is>
          <t>• Interpreter, script, package, package manager, virtual environment (light touch - one command, one explanation).
• Absolute vs relative path, working directory.
• Notebook kernel, cell execution order and hidden state.
• .py vs .ipynb: reproducible pipeline vs exploratory narrative.
• Repository, commit, push, README as the front door of a project.</t>
        </is>
      </c>
      <c r="L6" s="13" t="inlineStr">
        <is>
          <t>• Python 3.11+ and pip.
• VS Code with the Python and Jupyter extensions.
• Terminal / command line.
• Jupyter Notebook.
• Git and GitHub (repo, README, commit, push).
• Kaggle (navigation and dataset pages only).
• Google Colab - the declared fallback for students without a capable laptop.</t>
        </is>
      </c>
      <c r="M6" s="13" t="inlineStr">
        <is>
          <t>Lab 2 'Proof of life': verify the Python version, install pandas, import it, print its version, run one script and one notebook, and push all of it to a personal repository with a README that states the student's programme and one engineering problem they care about.</t>
        </is>
      </c>
      <c r="N6" s="13" t="inlineStr">
        <is>
          <t>None. A single small CSV is opened only to prove the environment works.</t>
        </is>
      </c>
      <c r="O6" s="13" t="inlineStr">
        <is>
          <t>Break and Fix. The lecturer distributes four pre-broken notebooks/environments - ModuleNotFoundError, wrong kernel selected, FileNotFoundError from a wrong relative path, and cells run out of order producing a wrong answer. Teams must diagnose and state the cause in one sentence each. This is the first lesson in reading errors instead of fearing them.</t>
        </is>
      </c>
      <c r="P6" s="13" t="inlineStr">
        <is>
          <t>A2 'Proof of Life' (brief written: setup/A2_assignment_brief.md): a repository containing the READY block from check_setup.py, the run notebook, their first script with one change they made and described, and a README. Due at the start of Week 3. Marked pass / merit / redo.</t>
        </is>
      </c>
      <c r="Q6" s="13" t="inlineStr">
        <is>
          <t>QUIZ 2 - notebooks and version control
Out-of-order execution diagnosed from a cell-numbering trace, what Restart and Run All proves, and reading one git status output. The interpretation question asks the student to read their own setup output, which is what gives you the readiness signal before Week 3 starts depending on it.</t>
        </is>
      </c>
      <c r="R6" s="13" t="inlineStr">
        <is>
          <t>Team repository created on GitHub with all members as collaborators.</t>
        </is>
      </c>
      <c r="S6" s="13" t="inlineStr">
        <is>
          <t>A2 contributes to Practical Challenges &amp; Assignments (10%). Also the gate for Week 3 - a student without a working environment cannot progress, so the clinic continues in office hours.</t>
        </is>
      </c>
      <c r="T6" s="13" t="inlineStr">
        <is>
          <t>• THIS WEEK HAS ITS OWN DOCUMENT. Use the Week 2 Lecturer Runsheet, which supersedes the timings in this row: it starts the file copying at 0:00 before any teaching, because distributing the bundle - not installing it - is the real bottleneck. The Student Setup Guide is issued in Week 1 and the tested scripts are in the setup/ folder.
• CRITICAL: pre-download offline installers (Python, VS Code, extensions, pandas/numpy/matplotlib/seaborn/scikit-learn wheels) onto USB drives and the local network share. 100 simultaneous downloads will not work. Use setup/build_offline_bundle.sh.
• CRITICAL: fix ONE Python minor version for the whole course and make the USB installer, build_offline_bundle.sh and check_setup.py all agree. Wheels are tied to the minor version, and a mismatch cannot be fixed during the session.
• Prepare the four broken notebooks for Break and Fix.
• Pre-provision lab machines and test them with a student account, not an admin account.
• Create Colab fallback links and confirm they open on the campus network.
• Recruit and brief 6-8 floor helpers (strongest students from the Week 1 survey).</t>
        </is>
      </c>
      <c r="U6" s="13" t="inlineStr">
        <is>
          <t>• Computer lab or BYOD with power sockets - confirm socket count against class size.
• USB drives with offline installers; local network share.
• Printed one-page command cheat sheet (works when the projector fails).
• Floor-helper badges.
• Contingency: if bandwidth collapses, the session runs entirely on lab machines plus the printed cheat sheet.</t>
        </is>
      </c>
      <c r="V6" s="13" t="inlineStr">
        <is>
          <t>Largely shared — check the Shared vs Divergent sheet.</t>
        </is>
      </c>
    </row>
    <row r="7" ht="220" customHeight="1">
      <c r="A7" s="10" t="n">
        <v>3</v>
      </c>
      <c r="B7" s="11" t="inlineStr">
        <is>
          <t>Block 1 - Orientation &amp; Computational Thinking</t>
        </is>
      </c>
      <c r="C7" s="11" t="inlineStr">
        <is>
          <t>Mon 21 Sep 2026</t>
        </is>
      </c>
      <c r="D7" s="11" t="inlineStr">
        <is>
          <t>Tue 22 Sep 2026
11:00-14:00 · Room 106</t>
        </is>
      </c>
      <c r="E7" s="11" t="inlineStr">
        <is>
          <t>Cohort A</t>
        </is>
      </c>
      <c r="F7" s="11" t="inlineStr">
        <is>
          <t>CML3112</t>
        </is>
      </c>
      <c r="G7" s="11" t="inlineStr">
        <is>
          <t>Introduction to Machine Learning in Design &amp; Infrastructure</t>
        </is>
      </c>
      <c r="H7" s="11" t="inlineStr">
        <is>
          <t>Python as an engineering calculator</t>
        </is>
      </c>
      <c r="I7" s="11"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11"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48-hour link and say so out loud.</t>
        </is>
      </c>
      <c r="K7" s="11"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11"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11"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A FRAMING: Formula set: maximum bending moment and mid-span deflection of a simply supported beam under a uniform load; slab concrete volume and reinforcement mass; concrete mix quantities for a target volume; wall U-value from layer resistances; cost per square metre of floor area; window-to-wall ratio.</t>
        </is>
      </c>
      <c r="N7" s="11" t="inlineStr">
        <is>
          <t>No dataset - formula-driven.</t>
        </is>
      </c>
      <c r="O7" s="11" t="inlineStr">
        <is>
          <t>Wrong Answer Hunt - six silently wrong functions. Chosen because 'it ran, therefore it is right' is the single most dangerous belief a beginner can form, and it is fatal later in model evaluation.</t>
        </is>
      </c>
      <c r="P7" s="11" t="inlineStr">
        <is>
          <t>A3: functions.py with five documented, tested functions and a short notebook demonstrating each, pushed to the repository.</t>
        </is>
      </c>
      <c r="Q7" s="11" t="inlineStr">
        <is>
          <t>QUIZ 3 - Python as an engineering calculator
A unit error that returns a plausible wrong number, a function that returns nothing because it prints instead, an if-chain whose branches are in the wrong order, and one traceback.</t>
        </is>
      </c>
      <c r="R7" s="11" t="inlineStr">
        <is>
          <t>Team repository has a working code file and a commit history with more than one contributor.</t>
        </is>
      </c>
      <c r="S7" s="11" t="inlineStr">
        <is>
          <t>A3 contributes to Practical Challenges &amp; Assignments (10%). Function-writing and traceback-reading are directly examined in Practical Test 1 (Week 7).</t>
        </is>
      </c>
      <c r="T7" s="11"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11" t="inlineStr">
        <is>
          <t>• Computers, projector, printed formula sheet for the cohort.
• Printed Python syntax cheat sheet (one page, both sides).
• Wrong Answer Hunt notebook distributed offline via USB or the network share.</t>
        </is>
      </c>
      <c r="V7" s="11" t="inlineStr">
        <is>
          <t>DIVERGENT: the six formulas and the Wrong Answer Hunt unit traps (kN vs N, mm vs m, W/m2K). SHARED: all concepts, structure, challenge design.</t>
        </is>
      </c>
    </row>
    <row r="8" ht="220" customHeight="1">
      <c r="A8" s="12" t="n">
        <v>4</v>
      </c>
      <c r="B8" s="13" t="inlineStr">
        <is>
          <t>Block 1 - Orientation &amp; Computational Thinking</t>
        </is>
      </c>
      <c r="C8" s="13" t="inlineStr">
        <is>
          <t>Mon 28 Sep 2026</t>
        </is>
      </c>
      <c r="D8" s="13" t="inlineStr">
        <is>
          <t>Tue 29 Sep 2026
11:00-14:00 · Room 106</t>
        </is>
      </c>
      <c r="E8" s="13" t="inlineStr">
        <is>
          <t>Cohort A</t>
        </is>
      </c>
      <c r="F8" s="13" t="inlineStr">
        <is>
          <t>CML3112</t>
        </is>
      </c>
      <c r="G8" s="13" t="inlineStr">
        <is>
          <t>Introduction to Machine Learning in Design &amp; Infrastructure</t>
        </is>
      </c>
      <c r="H8" s="13" t="inlineStr">
        <is>
          <t>Python for problem solving: collections, loops and files</t>
        </is>
      </c>
      <c r="I8" s="13"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13"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48-hour link and say so out loud.</t>
        </is>
      </c>
      <c r="K8" s="13"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13" t="inlineStr">
        <is>
          <t>• The csv module and open() - deliberately no pandas yet.
• The VS Code debugger on a loop, to watch an accumulator fill.
• Git: incremental commits during the build.</t>
        </is>
      </c>
      <c r="M8" s="13" t="inlineStr">
        <is>
          <t>Reading Report script (see structure). Core tier: handle a clean file. Stretch tier: survive a file containing blank lines, a stray text value in a numeric column and a duplicated header row - which is exactly what Week 6 formalises.</t>
        </is>
      </c>
      <c r="N8" s="13" t="inlineStr">
        <is>
          <t>COURSE-AUTHORED: 'site_inspection_log.csv' (~300 rows) - a fictional but realistic bridge or road inspection log with crack widths, defect ratings, inspection dates, inspector IDs and locations. Contains one genuine finding (a single structure or inspector whose ratings diverge systematically), two red herrings and realistic dirt.</t>
        </is>
      </c>
      <c r="O8" s="13"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13" t="inlineStr">
        <is>
          <t>A4: the Reading Report script plus 150 words on the most interesting thing they found in the Investigation Lab file and why an engineer should care.</t>
        </is>
      </c>
      <c r="Q8" s="13" t="inlineStr">
        <is>
          <t>QUIZ 4 - collections, loops and files
An accumulator reset inside the loop, a range off-by-one, a value read from a file as a string, and a skipped-row count that was never reported.</t>
        </is>
      </c>
      <c r="R8" s="13" t="inlineStr">
        <is>
          <t>Each team submits a one-paragraph statement of the kind of engineering problem it wants to work on for the semester (not yet a dataset).</t>
        </is>
      </c>
      <c r="S8" s="13" t="inlineStr">
        <is>
          <t>A4 contributes to Practical Challenges &amp; Assignments (10%). Investigation Lab 1 is the direct rehearsal for Practical Test 1 in Week 7 and establishes the no-spoon-feeding norm.</t>
        </is>
      </c>
      <c r="T8" s="13"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13" t="inlineStr">
        <is>
          <t>• Computers, the Investigation Lab data file distributed offline.
• Printed question-bank cards.
• Timer visible to the room - the pitch round must not overrun.
• Flipchart for the findings pitches.</t>
        </is>
      </c>
      <c r="V8" s="13" t="inlineStr">
        <is>
          <t>DIVERGENT: the Investigation Lab file and its planted story. SHARED: all Python content.</t>
        </is>
      </c>
    </row>
    <row r="9" ht="220" customHeight="1">
      <c r="A9" s="15" t="n">
        <v>5</v>
      </c>
      <c r="B9" s="16" t="inlineStr">
        <is>
          <t>Block 2 - Engineering Data</t>
        </is>
      </c>
      <c r="C9" s="16" t="inlineStr">
        <is>
          <t>Mon 05 Oct 2026</t>
        </is>
      </c>
      <c r="D9" s="16" t="inlineStr">
        <is>
          <t>Tue 06 Oct 2026
11:00-14:00 · Room 106</t>
        </is>
      </c>
      <c r="E9" s="16" t="inlineStr">
        <is>
          <t>Cohort A</t>
        </is>
      </c>
      <c r="F9" s="16" t="inlineStr">
        <is>
          <t>CML3112</t>
        </is>
      </c>
      <c r="G9" s="16" t="inlineStr">
        <is>
          <t>Introduction to Machine Learning in Design &amp; Infrastructure</t>
        </is>
      </c>
      <c r="H9" s="16" t="inlineStr">
        <is>
          <t>NumPy and pandas: the engineer's data table, and where data comes from</t>
        </is>
      </c>
      <c r="I9" s="16"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16"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48-hour link and say so out loud.</t>
        </is>
      </c>
      <c r="K9" s="16"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16" t="inlineStr">
        <is>
          <t>• NumPy.
• pandas.
• Kaggle (search, dataset cards, download, public notebooks as worked examples).
• UCI Machine Learning Repository and the ucimlrepo package.
• Jupyter as the primary surface from this week onward.</t>
        </is>
      </c>
      <c r="M9" s="16" t="inlineStr">
        <is>
          <t>Twelve Questions interrogation notebook on the anchor dataset (see structure). Core tier: answer all twelve. Stretch tier: add two questions of their own and answer them.
COHORT A FRAMING: The twelve questions include: how does mean strength vary with curing age band; which mixes achieve above 50 MPa and what do they share; what is the water-to-cement ratio distribution; do high-fly-ash mixes differ in strength; and for Energy Efficiency, how does heating load vary with glazing area and orientation.</t>
        </is>
      </c>
      <c r="N9" s="16" t="inlineStr">
        <is>
          <t>ANCHOR: Concrete Compressive Strength (UCI 165, CC BY 4.0, 1030 rows x 9 columns). SECONDARY for the architecture stream: Energy Efficiency (UCI 242, CC BY 4.0, 768 rows x 8 features, heating and cooling load targets).</t>
        </is>
      </c>
      <c r="O9" s="16" t="inlineStr">
        <is>
          <t>Ten Questions, No Help - a timed, unassisted interrogation of an unfamiliar dataset. Directly calibrates students against the Week 7 test format.</t>
        </is>
      </c>
      <c r="P9" s="16" t="inlineStr">
        <is>
          <t>A5: the Twelve Questions notebook, pushed with a README section describing the dataset's source and licence.</t>
        </is>
      </c>
      <c r="Q9" s="16" t="inlineStr">
        <is>
          <t>QUIZ 5 - pandas and judging a dataset
A mask confused with a filtered frame, a groupby result whose shape is misread, a dtype of 'object' on a numeric column, and one question on where a dataset came from.</t>
        </is>
      </c>
      <c r="R9" s="16" t="inlineStr">
        <is>
          <t>DATA ANALYSIS PROJECT launched. Each team selects a dataset from the approved list (or proposes one for approval), and registers the engineering question it will answer.</t>
        </is>
      </c>
      <c r="S9" s="16" t="inlineStr">
        <is>
          <t>A5 contributes to Practical Challenges &amp; Assignments (10%). The Data Analysis Project is 10% in its own right. pandas fluency is the core of Practical Test 1 (Week 7).</t>
        </is>
      </c>
      <c r="T9" s="16"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16"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16" t="inlineStr">
        <is>
          <t>DIVERGENT: anchor dataset and the twelve questions. SHARED: all pandas and NumPy content, the Kaggle/UCI sourcing segment, the challenge format.</t>
        </is>
      </c>
    </row>
    <row r="10" ht="220" customHeight="1">
      <c r="A10" s="12" t="n">
        <v>6</v>
      </c>
      <c r="B10" s="13" t="inlineStr">
        <is>
          <t>Block 2 - Engineering Data</t>
        </is>
      </c>
      <c r="C10" s="13" t="inlineStr">
        <is>
          <t>Mon 12 Oct 2026</t>
        </is>
      </c>
      <c r="D10" s="13" t="inlineStr">
        <is>
          <t>Tue 13 Oct 2026
11:00-14:00 · Room 106</t>
        </is>
      </c>
      <c r="E10" s="13" t="inlineStr">
        <is>
          <t>Cohort A</t>
        </is>
      </c>
      <c r="F10" s="13" t="inlineStr">
        <is>
          <t>CML3112</t>
        </is>
      </c>
      <c r="G10" s="13" t="inlineStr">
        <is>
          <t>Introduction to Machine Learning in Design &amp; Infrastructure</t>
        </is>
      </c>
      <c r="H10" s="13" t="inlineStr">
        <is>
          <t>Dirty data, and seeing it: data quality through visualisation</t>
        </is>
      </c>
      <c r="I10" s="13"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13" t="inlineStr">
        <is>
          <t>• 0:00-0:30  Concept: real engineering data is broken, and the break is usually informative. Six defect classes are introduced with a physical story for each (a sensor that fails to zero, a technician who typed the units in, a duplicate export, a survey that was abandoned).
• 0:30-1:00  Demonstration: the same chart used twice - once to find a defect, once to report a finding. Missingness map, box plot for outliers, scatter for impossible relationships, correlation heatmap for redundancy.
• 1:00-2:10  PRACTICAL - Data Clinic. Students receive a deliberately damaged version of a familiar dataset and must find every defect, decide on and implement a handling strategy, and write one justifying sentence per decision. Marks are for the justification, not the fix.
• 2:10-2:45  CHALLENGE - The Outlier Argument. Teams get five flagged extreme values and must argue for each: measurement error to be removed, or real behaviour to be kept? They must commit and defend. There is no single right answer for two of the five, which is the point.
• 2:45-3:00  Data Analysis Project progress check and the 'every graph answers a question' rule restated as a marking criterion.
• LAST FIVE MINUTES — QUIZ 6 - dirty data, and seeing it. Open the Form, project the QR, give it exactly five minutes, close it, and show the cohort's score distribution before they leave. Worth 1%, best 10 of 12 count, no resits. If the network is down, convert it to a 48-hour link and say so out loud.</t>
        </is>
      </c>
      <c r="K10" s="13"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13"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13"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A FRAMING: Outlier Argument cases drawn from construction reality: a 90 MPa strength result, a building with implausibly low energy use, a negative crack width, an inspection dated in the future, and a slab thickness of 2.5 m.</t>
        </is>
      </c>
      <c r="N10" s="13" t="inlineStr">
        <is>
          <t>COURSE-AUTHORED damaged variant of the Concrete or Energy Efficiency dataset, plus a fictional 'building_performance_survey.csv' with zero-coded missing floor areas, duplicated exports, a text value in a numeric column, and two genuinely arguable extreme values (a passive-house outlier and a mis-metered building).</t>
        </is>
      </c>
      <c r="O10" s="13" t="inlineStr">
        <is>
          <t>The Outlier Argument - forces a judgement call with no lookup answer, and rewards domain reasoning over technique.</t>
        </is>
      </c>
      <c r="P10" s="13" t="inlineStr">
        <is>
          <t>A6: cleaning notebook, defect register, and data quality statement for the team's Data Analysis Project dataset.</t>
        </is>
      </c>
      <c r="Q10" s="13" t="inlineStr">
        <is>
          <t>QUIZ 6 - dirty data, and seeing it
A zero-coded missing value, a chart that does not answer the stated question, and an extreme value that has to be judged as an error or a real measurement.</t>
        </is>
      </c>
      <c r="R10" s="13" t="inlineStr">
        <is>
          <t>Data Analysis Project: cleaned dataset and at least four question-driven charts committed to the repository.</t>
        </is>
      </c>
      <c r="S10" s="13" t="inlineStr">
        <is>
          <t>A6 contributes to Practical Challenges &amp; Assignments (10%). Cleaning judgement and chart quality are 40% of the Practical Test 1 rubric.</t>
        </is>
      </c>
      <c r="T10" s="13"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13" t="inlineStr">
        <is>
          <t>• Computers; the damaged dataset offline; seaborn/matplotlib cheat sheet.
• Printed defect register template.
• Practical Test 1 information sheet and rubric for distribution.
• Colour printing or a good projector for the chart-quality comparison.</t>
        </is>
      </c>
      <c r="V10" s="13" t="inlineStr">
        <is>
          <t>DIVERGENT: the damaged dataset and the five outlier cases. SHARED: all cleaning and visualisation content.</t>
        </is>
      </c>
    </row>
    <row r="11" ht="220" customHeight="1">
      <c r="A11" s="17" t="n">
        <v>7</v>
      </c>
      <c r="B11" s="18" t="inlineStr">
        <is>
          <t>ASSESSMENT WEEK 1</t>
        </is>
      </c>
      <c r="C11" s="18" t="inlineStr">
        <is>
          <t>Mon 19 Oct 2026</t>
        </is>
      </c>
      <c r="D11" s="18" t="inlineStr">
        <is>
          <t>Tue 20 Oct 2026
11:00-14:00 · Room 106</t>
        </is>
      </c>
      <c r="E11" s="18" t="inlineStr">
        <is>
          <t>Cohort A</t>
        </is>
      </c>
      <c r="F11" s="18" t="inlineStr">
        <is>
          <t>CML3112</t>
        </is>
      </c>
      <c r="G11" s="18" t="inlineStr">
        <is>
          <t>Introduction to Machine Learning in Design &amp; Infrastructure</t>
        </is>
      </c>
      <c r="H11" s="18" t="inlineStr">
        <is>
          <t>PRACTICAL TEST 1 - Data Investigation (individual, offline)</t>
        </is>
      </c>
      <c r="I11" s="18"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writing, without tools.</t>
        </is>
      </c>
      <c r="J11" s="18"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no computer). Four short questions on their own submission: why that cleaning decision, what the chart does not show, what would change the conclusion, and what data is missing.
• 2:40-3:00  Collection, checksum of submissions, immediate structural check, dismissal.</t>
        </is>
      </c>
      <c r="K11" s="18" t="inlineStr">
        <is>
          <t>• No new concepts. Weeks 1-6 are examined: pandas, cleaning judgement, visualisation, engineering interpretation.
• Examined implicitly: the ability to proceed without instructions.</t>
        </is>
      </c>
      <c r="L11" s="18" t="inlineStr">
        <is>
          <t>• Permitted: Python, VS Code or Jupyter, pandas, NumPy, matplotlib, seaborn, and an OFFLINE documentation bundle.
• Prohibited: internet access, AI assistants, messaging, shared drives. The room runs offline - this is enforceable, which is why the test is designed this way.
• Rationale published to students in Week 6: AI is permitted and encouraged in projects, where the work is explained and defended; it is excluded from the two tests, which certify unaided capability.</t>
        </is>
      </c>
      <c r="M11" s="18" t="inlineStr">
        <is>
          <t>The test is the practical. Duration 2h00 practical + 0h25 written. Three parallel dataset variants are issued in a checkerboard seating pattern to remove any benefit from collusion.</t>
        </is>
      </c>
      <c r="N11" s="18" t="inlineStr">
        <is>
          <t>UNSEEN test datasets, three matched variants from construction, structural or building performance data. Suggested sources: a held-back subset of Energy Efficiency (UCI 242), Concrete Slump Test (UCI 182 - VERIFY before use), and a course-authored pavement or road condition survey. Variants must be matched for row count, defect count and difficulty.</t>
        </is>
      </c>
      <c r="O11" s="18" t="inlineStr">
        <is>
          <t>The entire assessment is the challenge: an unfamiliar dataset, no prescribed method, and marks awarded for reasoning as much as for result.</t>
        </is>
      </c>
      <c r="P11" s="18" t="inlineStr">
        <is>
          <t>None issued. Week 8 pre-reading only (a two-page primer on the idea of fitting a line), so the test week carries no homework load.</t>
        </is>
      </c>
      <c r="Q11" s="18" t="inlineStr">
        <is>
          <t>—</t>
        </is>
      </c>
      <c r="R11" s="18" t="inlineStr">
        <is>
          <t>Data Analysis Project continues outside class; due Week 8.</t>
        </is>
      </c>
      <c r="S11" s="18" t="inlineStr">
        <is>
          <t>PRACTICAL TEST 1 = 15% of the Semester 1 mark. Individual. Rubric: profiling 15, cleaning decisions and justification 20, visualisation 20, findings correctness 20, engineering interpretation 15, notebook clarity and reproducibility 10.</t>
        </is>
      </c>
      <c r="T11" s="18"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18" t="inlineStr">
        <is>
          <t>• Invigilated lab, offline. Confirmed machine count. Spare machines and a power contingency.
• USB drives or a local drop folder for collection.
• Printed task sheets (one per variant) and printed answer booklets for Part B.
• Second invigilator for any sitting above 40 students.
• Published rubric (issued Week 6).</t>
        </is>
      </c>
      <c r="V11" s="18" t="inlineStr">
        <is>
          <t>DIVERGENT: the three dataset variants and their mark schemes. SHARED: format, rules, duration, rubric, offline bundle.</t>
        </is>
      </c>
    </row>
    <row r="12" ht="220" customHeight="1">
      <c r="A12" s="12" t="n">
        <v>8</v>
      </c>
      <c r="B12" s="13" t="inlineStr">
        <is>
          <t>Block 3 - The Machine Learning Core</t>
        </is>
      </c>
      <c r="C12" s="13" t="inlineStr">
        <is>
          <t>Mon 26 Oct 2026</t>
        </is>
      </c>
      <c r="D12" s="13" t="inlineStr">
        <is>
          <t>Tue 27 Oct 2026
11:00-14:00 · Room 106</t>
        </is>
      </c>
      <c r="E12" s="13" t="inlineStr">
        <is>
          <t>Cohort A</t>
        </is>
      </c>
      <c r="F12" s="13" t="inlineStr">
        <is>
          <t>CML3112</t>
        </is>
      </c>
      <c r="G12" s="13" t="inlineStr">
        <is>
          <t>Introduction to Machine Learning in Design &amp; Infrastructure</t>
        </is>
      </c>
      <c r="H12" s="13" t="inlineStr">
        <is>
          <t>Learning from data: the first model</t>
        </is>
      </c>
      <c r="I12" s="13"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13"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48-hour link and say so out loud.</t>
        </is>
      </c>
      <c r="K12" s="13"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13"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13" t="inlineStr">
        <is>
          <t>First Model notebook (see structure). Core tier: a working, evaluated regression with the error stated in physical units. Stretch tier: a residual plot with a written interpretation of where the model is worst and a hypothesis as to why.
COHORT A FRAMING: The error must be reported as 'plus or minus X MPa' or 'plus or minus X kWh/m2', and the class must answer: is that good enough to skip a laboratory test, or to size a cooling system? The answer is usually no, which is the most valuable thing they learn this week.</t>
        </is>
      </c>
      <c r="N12" s="13" t="inlineStr">
        <is>
          <t>Concrete Compressive Strength (UCI 165) for the civil stream; Energy Efficiency (UCI 242) for the architecture stream. Both are regression with a physically meaningful error unit - MPa and kWh/m2 respectively.</t>
        </is>
      </c>
      <c r="O12" s="13" t="inlineStr">
        <is>
          <t>Beat the Baseline. The baseline is the pedagogical device: it makes 'R-squared = 0.62' mean something, and it makes an unimpressive model an interesting result rather than a failure.</t>
        </is>
      </c>
      <c r="P12" s="13" t="inlineStr">
        <is>
          <t>A7: regression notebook including the baseline comparison, the error in physical units, and three sentences on whether an engineer should act on this model.</t>
        </is>
      </c>
      <c r="Q12" s="13" t="inlineStr">
        <is>
          <t>QUIZ 7 - the first model
A score quoted on the training rows, a residual plot read the wrong way round, MAE against RMSE on the same data, and a baseline nobody computed.</t>
        </is>
      </c>
      <c r="R12" s="13" t="inlineStr">
        <is>
          <t>DATA ANALYSIS PROJECT DUE (10%). Engineering ML Project brief previewed; teams begin scoping.</t>
        </is>
      </c>
      <c r="S12" s="13" t="inlineStr">
        <is>
          <t>A7 contributes to Practical Challenges (10%). Data Analysis Project is submitted and marked (10%). Regression, metrics and train/test are core to Practical Test 2 (Week 14).</t>
        </is>
      </c>
      <c r="T12" s="13"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13" t="inlineStr">
        <is>
          <t>• Computers; anchor dataset offline; projector.
• Leaderboard display.
• Printed sklearn API card (fit / predict / score / metrics).
• Marked or triaged Test 1 scripts for the debrief.</t>
        </is>
      </c>
      <c r="V12" s="13" t="inlineStr">
        <is>
          <t>DIVERGENT: dataset, target, physical error units, and the 'is it good enough' question. SHARED: all regression and metric content.</t>
        </is>
      </c>
    </row>
    <row r="13" ht="220" customHeight="1">
      <c r="A13" s="10" t="n">
        <v>9</v>
      </c>
      <c r="B13" s="11" t="inlineStr">
        <is>
          <t>Block 3 - The Machine Learning Core</t>
        </is>
      </c>
      <c r="C13" s="11" t="inlineStr">
        <is>
          <t>Mon 02 Nov 2026</t>
        </is>
      </c>
      <c r="D13" s="11" t="inlineStr">
        <is>
          <t>Tue 03 Nov 2026
11:00-14:00 · Room 106</t>
        </is>
      </c>
      <c r="E13" s="11" t="inlineStr">
        <is>
          <t>Cohort A</t>
        </is>
      </c>
      <c r="F13" s="11" t="inlineStr">
        <is>
          <t>CML3112</t>
        </is>
      </c>
      <c r="G13" s="11" t="inlineStr">
        <is>
          <t>Introduction to Machine Learning in Design &amp; Infrastructure</t>
        </is>
      </c>
      <c r="H13" s="11" t="inlineStr">
        <is>
          <t>Classification: predicting which category a case belongs to</t>
        </is>
      </c>
      <c r="I13" s="11"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11"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48-hour link and say so out loud.</t>
        </is>
      </c>
      <c r="K13" s="11"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11" t="inlineStr">
        <is>
          <t>• scikit-learn: LogisticRegression, DecisionTreeClassifier, RandomForestClassifier, confusion_matrix, ConfusionMatrixDisplay, classification_report, plot_tree.
• seaborn for the confusion matrix heatmap.
• pandas for the cost table.</t>
        </is>
      </c>
      <c r="M13" s="11"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A FRAMING: Cost table categories: cost of an unnecessary rejection of a concrete pour, cost of accepting a substandard pour, cost of an unnecessary plant inspection, cost of a plant failure on site including delay and safety consequence.</t>
        </is>
      </c>
      <c r="N13" s="11" t="inlineStr">
        <is>
          <t>Two options, both classification. (i) Concrete strength banded into specification classes (below 25, 25-40, above 40 MPa) - the banding decision is itself taught as an engineering choice. (ii) AI4I 2020 Predictive Maintenance (UCI 601, CC BY 4.0, 10,000 rows, 3.4% failure rate) framed as construction plant failure, which supplies a genuine imbalance for The 97% Trap.</t>
        </is>
      </c>
      <c r="O13" s="11" t="inlineStr">
        <is>
          <t>The 97% Trap. Deliberately adversarial. It inoculates students against the single most common failure in applied ML, and it is a low-guidance session by design.</t>
        </is>
      </c>
      <c r="P13" s="11" t="inlineStr">
        <is>
          <t>A8: classification notebook with the cost table and the metric recommendation.</t>
        </is>
      </c>
      <c r="Q13" s="11" t="inlineStr">
        <is>
          <t>QUIZ 8 - classification
A confusion matrix read for what the model does badly, an accuracy figure quoted without the class balance, and a threshold moved with its effect on each cell.</t>
        </is>
      </c>
      <c r="R13" s="11" t="inlineStr">
        <is>
          <t>ENGINEERING ML PROJECT launched (25%, runs to Week 15). Teams must register a problem statement, a candidate dataset and a named target variable by Week 10.</t>
        </is>
      </c>
      <c r="S13" s="11" t="inlineStr">
        <is>
          <t>A8 contributes to Practical Challenges (10%). The Engineering ML Project brief and rubric are now live. Classification and metric choice are examined in Practical Test 2.</t>
        </is>
      </c>
      <c r="T13" s="11"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11"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11" t="inlineStr">
        <is>
          <t>DIVERGENT: dataset, class definitions and cost categories. SHARED: all classification content and the 97% Trap design.</t>
        </is>
      </c>
    </row>
    <row r="14" ht="220" customHeight="1">
      <c r="A14" s="12" t="n">
        <v>10</v>
      </c>
      <c r="B14" s="13" t="inlineStr">
        <is>
          <t>Block 3 - The Machine Learning Core</t>
        </is>
      </c>
      <c r="C14" s="13" t="inlineStr">
        <is>
          <t>Mon 09 Nov 2026</t>
        </is>
      </c>
      <c r="D14" s="13" t="inlineStr">
        <is>
          <t>Tue 10 Nov 2026
11:00-14:00 · Room 106</t>
        </is>
      </c>
      <c r="E14" s="13" t="inlineStr">
        <is>
          <t>Cohort A</t>
        </is>
      </c>
      <c r="F14" s="13" t="inlineStr">
        <is>
          <t>CML3112</t>
        </is>
      </c>
      <c r="G14" s="13" t="inlineStr">
        <is>
          <t>Introduction to Machine Learning in Design &amp; Infrastructure</t>
        </is>
      </c>
      <c r="H14" s="13" t="inlineStr">
        <is>
          <t>Can I trust this model?</t>
        </is>
      </c>
      <c r="I14" s="13"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13"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48-hour link and say so out loud.</t>
        </is>
      </c>
      <c r="K14" s="13"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13"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13"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13" t="inlineStr">
        <is>
          <t>The team's own project dataset, plus three course-authored 'Too Good To Be True' notebooks. Planted causes for this cohort: a 28-day strength column left in the features while predicting strength class; duplicated mix records spanning the split; and a specimen ID that encodes the batch and therefore the target.</t>
        </is>
      </c>
      <c r="O14" s="13"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13" t="inlineStr">
        <is>
          <t>A9: Trust Lab notebook plus a 'conditions of use' paragraph for the team's project model.</t>
        </is>
      </c>
      <c r="Q14" s="13"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13" t="inlineStr">
        <is>
          <t>PROJECT MILESTONE 1 (graded milestone): problem statement, dataset with licence, named target, and a baseline notebook. Each member's contribution log must be present in the repository.</t>
        </is>
      </c>
      <c r="S14" s="13" t="inlineStr">
        <is>
          <t>A9 contributes to Practical Challenges (10%). PM1 is a graded milestone within the Engineering ML Project (25%). Validation carries 15 of the 100 marks in the project rubric, and leakage control carries 20 of the 100 marks in the Practical Test 2 rubric.</t>
        </is>
      </c>
      <c r="T14" s="13"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13" t="inlineStr">
        <is>
          <t>• Computers; the three challenge notebooks offline; projector.
• Printed PM1 checklist and contribution log template.
• Printed leakage taxonomy card (four kinds, one example each).
• Timer for the PM1 stand-ups.</t>
        </is>
      </c>
      <c r="V14" s="13" t="inlineStr">
        <is>
          <t>DIVERGENT: the planted leakage causes are dressed in construction terms. SHARED: all validation content.</t>
        </is>
      </c>
    </row>
    <row r="15" ht="220" customHeight="1">
      <c r="A15" s="10" t="n">
        <v>11</v>
      </c>
      <c r="B15" s="11" t="inlineStr">
        <is>
          <t>Block 4 - Practical Machine Learning Judgement</t>
        </is>
      </c>
      <c r="C15" s="11" t="inlineStr">
        <is>
          <t>Mon 16 Nov 2026</t>
        </is>
      </c>
      <c r="D15" s="11" t="inlineStr">
        <is>
          <t>Tue 17 Nov 2026
11:00-14:00 · Room 106</t>
        </is>
      </c>
      <c r="E15" s="11" t="inlineStr">
        <is>
          <t>Cohort A</t>
        </is>
      </c>
      <c r="F15" s="11" t="inlineStr">
        <is>
          <t>CML3112</t>
        </is>
      </c>
      <c r="G15" s="11" t="inlineStr">
        <is>
          <t>Introduction to Machine Learning in Design &amp; Infrastructure</t>
        </is>
      </c>
      <c r="H15" s="11" t="inlineStr">
        <is>
          <t>Features: where engineering knowledge enters the model</t>
        </is>
      </c>
      <c r="I15" s="11"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11"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48-hour link and say so out loud.</t>
        </is>
      </c>
      <c r="K15" s="11"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11"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11"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A FRAMING: Domain features that should be engineered: water-to-cement ratio, aggregate-to-cement ratio, total binder content, fly ash as a proportion of binder, log of curing age, surface-area-to-volume ratio, window-to-wall ratio, and glazing area weighted by orientation. The water-to-cement ratio is the demonstration feature - it is a century-old piece of concrete technology that outperforms the raw component masses, which is exactly the point of the week.</t>
        </is>
      </c>
      <c r="N15" s="11" t="inlineStr">
        <is>
          <t>Concrete Compressive Strength (UCI 165) and Energy Efficiency (UCI 242).</t>
        </is>
      </c>
      <c r="O15" s="11" t="inlineStr">
        <is>
          <t>Domain Advantage - a controlled experiment run by the students on themselves, comparing raw data plus a better algorithm against domain knowledge plus a simple algorithm.</t>
        </is>
      </c>
      <c r="P15" s="11" t="inlineStr">
        <is>
          <t>A10: feature dictionary and ablation table for the team's project dataset.</t>
        </is>
      </c>
      <c r="Q15" s="11" t="inlineStr">
        <is>
          <t>QUIZ 10 - features
An ablation table read for which feature earned its place, a one-hot encoding on a high-cardinality column, and a scaler that made no difference to a tree.</t>
        </is>
      </c>
      <c r="R15" s="11" t="inlineStr">
        <is>
          <t>PROJECT MILESTONE 2 briefed this week and due at the start of Week 12 (graded milestone): cleaned dataset, feature dictionary, and a first properly evaluated model inside a Pipeline.</t>
        </is>
      </c>
      <c r="S15" s="11" t="inlineStr">
        <is>
          <t>A10 contributes to Practical Challenges (10%). PM2 is a graded milestone within the project (25%). Engineering reasoning carries 20 of the 100 project marks, and feature construction is where it is most visible.</t>
        </is>
      </c>
      <c r="T15" s="11"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11"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11" t="inlineStr">
        <is>
          <t>DIVERGENT: the feature set and the standards reference sheet (relevant concrete and building-envelope codes). SHARED: all encoding, scaling, pipeline and ablation content.</t>
        </is>
      </c>
    </row>
    <row r="16" ht="220" customHeight="1">
      <c r="A16" s="12" t="n">
        <v>12</v>
      </c>
      <c r="B16" s="13" t="inlineStr">
        <is>
          <t>Block 4 - Practical Machine Learning Judgement</t>
        </is>
      </c>
      <c r="C16" s="13" t="inlineStr">
        <is>
          <t>Mon 23 Nov 2026</t>
        </is>
      </c>
      <c r="D16" s="13" t="inlineStr">
        <is>
          <t>Tue 24 Nov 2026
11:00-14:00 · Room 106</t>
        </is>
      </c>
      <c r="E16" s="13" t="inlineStr">
        <is>
          <t>Cohort A</t>
        </is>
      </c>
      <c r="F16" s="13" t="inlineStr">
        <is>
          <t>CML3112</t>
        </is>
      </c>
      <c r="G16" s="13" t="inlineStr">
        <is>
          <t>Introduction to Machine Learning in Design &amp; Infrastructure</t>
        </is>
      </c>
      <c r="H16" s="13" t="inlineStr">
        <is>
          <t>Model comparison and engineering judgement (low-guidance week)</t>
        </is>
      </c>
      <c r="I16" s="13"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13"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0:55-2:25  ENGINEERING AI CHALLENGE - Choose a Model and Defend It. Teams receive an unfamiliar dataset and a brief from a fictional client. They must run at least four candidate models under an identical protocol, tabulate the results, and produce a one-page recommendation. The lecturer circulates with the question bank and gives no answers for the full 90 minutes.
• 2:25-2:40  DEFENCE ROUND. Each team presents its recommendation to another team, whose job is to attack it. Two challenges must be raised and answered. The lecturer marks the quality of the challenges as well as the defences.
• 2:55-3:00  WEEKLY QUIZ. Five questions, five minutes, opened by QR on the projector. Two of the five are drawn from the Week 1-10 banks.
• 2:55-3:00  Project Milestone 3 briefing.
• LAST FIVE MINUTES — QUIZ 11 - model comparison (integrative). Open the Form, project the QR, give it exactly five minutes, close it, and show the cohort's score distribution before they leave. Worth 1%, best 10 of 12 count, no resits. If the network is down, convert it to a 48-hour link and say so out loud.</t>
        </is>
      </c>
      <c r="K16" s="13"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13"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13"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13" t="inlineStr">
        <is>
          <t>An unfamiliar construction or building dataset with a client brief. Suggested: a road roughness or pavement condition dataset, or a construction cost dataset (both to be sourced and VERIFIED in the week before use). The client brief should require that the recommendation be explainable to a client or a regulator, which forces the interpretability trade-off to bite.</t>
        </is>
      </c>
      <c r="O16" s="13" t="inlineStr">
        <is>
          <t>Choose a Model and Defend It, plus the adversarial Defence Round. This is the week that most directly rehearses professional engineering practice, and the least guided session before the test.</t>
        </is>
      </c>
      <c r="P16" s="13" t="inlineStr">
        <is>
          <t>A11 (graded in-session): the one-page recommendation. This is the last of the eleven practical challenges.</t>
        </is>
      </c>
      <c r="Q16" s="13"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13" t="inlineStr">
        <is>
          <t>PROJECT MILESTONE 3 briefed this week and due at the start of Week 13 (graded milestone): a model comparison table for the team's own project, with a justified selection.</t>
        </is>
      </c>
      <c r="S16" s="13" t="inlineStr">
        <is>
          <t>A11 contributes to Practical Challenges (10%) and is graded in-session. PM3 is a graded milestone within the project (25%). This session is the closest rehearsal for Practical Test 2.</t>
        </is>
      </c>
      <c r="T16" s="13"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90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13" t="inlineStr">
        <is>
          <t>• Computers; challenge dataset offline; printed client briefs.
• Printed question-bank cards and recommendation template.
• Room layout allowing team-to-team defence (movable seating strongly preferred).
• Timer and a visible protocol poster.</t>
        </is>
      </c>
      <c r="V16" s="13" t="inlineStr">
        <is>
          <t>DIVERGENT: challenge dataset and client brief. SHARED: protocol, defence round, criteria.</t>
        </is>
      </c>
    </row>
    <row r="17" ht="220" customHeight="1">
      <c r="A17" s="10" t="n">
        <v>13</v>
      </c>
      <c r="B17" s="11" t="inlineStr">
        <is>
          <t>Block 5 - Engineering Project</t>
        </is>
      </c>
      <c r="C17" s="11" t="inlineStr">
        <is>
          <t>Mon 30 Nov 2026</t>
        </is>
      </c>
      <c r="D17" s="11" t="inlineStr">
        <is>
          <t>Tue 01 Dec 2026
11:00-14:00 · Room 106</t>
        </is>
      </c>
      <c r="E17" s="11" t="inlineStr">
        <is>
          <t>Cohort A</t>
        </is>
      </c>
      <c r="F17" s="11" t="inlineStr">
        <is>
          <t>CML3112</t>
        </is>
      </c>
      <c r="G17" s="11" t="inlineStr">
        <is>
          <t>Introduction to Machine Learning in Design &amp; Infrastructure</t>
        </is>
      </c>
      <c r="H17" s="11" t="inlineStr">
        <is>
          <t>Project studio: reproducibility, communication and peer review</t>
        </is>
      </c>
      <c r="I17" s="11"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11"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1:00-2:25  STUDIO. Teams build. The lecturer runs timed clinic slots on a booked rotation (see preparation - this is the session that fails without a booking sheet). Teams not in a clinic slot work or peer-review.
• 2:25-2:40  PEER REVIEW ROUND. Each team reviews another team's repository against the project rubric and returns a written review naming two strengths and two specific fixes.
• 2:55-3:00  WEEKLY QUIZ, the last of the twelve. Five questions, five minutes; two are drawn from the earlier banks.
• 2:55-3:00  Practical Test 2 briefing: format, rules, offline mode, rubric restated.
• LAST FIVE MINUTES — QUIZ 12 - reproducibility (integrative). Open the Form, project the QR, give it exactly five minutes, close it, and show the cohort's score distribution before they leave. Worth 1%, best 10 of 12 count, no resits. If the network is down, convert it to a 48-hour link and say so out loud.</t>
        </is>
      </c>
      <c r="K17" s="11"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11"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11" t="inlineStr">
        <is>
          <t>Studio build plus the peer review round. Deliverable: a repository that passes restart-and-run-all, a complete README, requirements.txt, a contribution log, and a received peer review with a written response to it.</t>
        </is>
      </c>
      <c r="N17" s="11" t="inlineStr">
        <is>
          <t>The team's own project dataset.</t>
        </is>
      </c>
      <c r="O17" s="11" t="inlineStr">
        <is>
          <t>The peer review itself. Teams discover that reviewing is harder than building, and they find their own defects in someone else's repository.</t>
        </is>
      </c>
      <c r="P17" s="11" t="inlineStr">
        <is>
          <t>No new assignment - project work only, deliberately, so the week before the test carries no extra load.</t>
        </is>
      </c>
      <c r="Q17" s="11"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11" t="inlineStr">
        <is>
          <t>PROJECT MILESTONE 4: repository freeze candidate, restart-and-run-all passing, peer review received and responded to.</t>
        </is>
      </c>
      <c r="S17" s="11" t="inlineStr">
        <is>
          <t>PM4 feeds the Reproducibility and documentation (5%) and Communication (10%) criteria of the project rubric, and the whole session prepares the Week 15 demo. Practical Test 2 is briefed here.</t>
        </is>
      </c>
      <c r="T17" s="11" t="inlineStr">
        <is>
          <t>• BUILD THE CLINIC BOOKING SHEET. With ~22 teams in Cohort A, 100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11" t="inlineStr">
        <is>
          <t>• Computers; movable seating; printed clinic booking sheet and repository checklist.
• Printed peer review forms.
• Two assistants or floor helpers if the cohort exceeds 60 students.
• Practical Test 2 information sheet.</t>
        </is>
      </c>
      <c r="V17" s="11" t="inlineStr">
        <is>
          <t>FULLY SHARED. Reproducibility, README standards and peer review are identical across all three cohorts. Prepare once.</t>
        </is>
      </c>
    </row>
    <row r="18" ht="220" customHeight="1">
      <c r="A18" s="17" t="n">
        <v>14</v>
      </c>
      <c r="B18" s="18" t="inlineStr">
        <is>
          <t>ASSESSMENT WEEK 2</t>
        </is>
      </c>
      <c r="C18" s="18" t="inlineStr">
        <is>
          <t>Mon 07 Dec 2026</t>
        </is>
      </c>
      <c r="D18" s="18" t="inlineStr">
        <is>
          <t>Tue 08 Dec 2026
11:00-14:00 · Room 106</t>
        </is>
      </c>
      <c r="E18" s="18" t="inlineStr">
        <is>
          <t>Cohort A</t>
        </is>
      </c>
      <c r="F18" s="18" t="inlineStr">
        <is>
          <t>CML3112</t>
        </is>
      </c>
      <c r="G18" s="18" t="inlineStr">
        <is>
          <t>Introduction to Machine Learning in Design &amp; Infrastructure</t>
        </is>
      </c>
      <c r="H18" s="18" t="inlineStr">
        <is>
          <t>PRACTICAL TEST 2 - End-to-End Engineering Machine Learning (individual, offline)</t>
        </is>
      </c>
      <c r="I18" s="18"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18"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no computer). Why this metric. Where could this pipeline leak. What would change your recommendation. Would you deploy this, and what would you require first.
• 2:40-3:00  Collection, structural check, dismissal. Week 15 demo running order confirmed.</t>
        </is>
      </c>
      <c r="K18" s="18" t="inlineStr">
        <is>
          <t>• No new concepts. Weeks 8-13 are examined: supervised learning, validation, leakage, features, model comparison and engineering interpretation.</t>
        </is>
      </c>
      <c r="L18" s="18"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18" t="inlineStr">
        <is>
          <t>The test is the practical. Duration 2h00 practical + 0h25 written. Three parallel dataset variants in a checkerboard seating pattern.</t>
        </is>
      </c>
      <c r="N18" s="18" t="inlineStr">
        <is>
          <t>UNSEEN test datasets, three matched variants from the construction, structural or building performance domain. Must be genuinely unfamiliar and must support at least two model families.</t>
        </is>
      </c>
      <c r="O18" s="18" t="inlineStr">
        <is>
          <t>The whole assessment. An unfamiliar dataset, no prescribed method, and a rubric that awards more marks for reasoning and interpretation than for the score achieved.</t>
        </is>
      </c>
      <c r="P18" s="18" t="inlineStr">
        <is>
          <t>None. Final project preparation only.</t>
        </is>
      </c>
      <c r="Q18" s="18" t="inlineStr">
        <is>
          <t>—</t>
        </is>
      </c>
      <c r="R18" s="18" t="inlineStr">
        <is>
          <t>Engineering ML Project: final build week outside class. Repository and two-page brief due at the Week 15 session.</t>
        </is>
      </c>
      <c r="S18" s="18" t="inlineStr">
        <is>
          <t>PRACTICAL TEST 2 = 20% of the Semester 1 mark. Individual. Rubric: task framing 10, data preparation and leakage control 20, modelling protocol 20, evaluation and metric justification 20, engineering interpretation and limits 20, code clarity 10.</t>
        </is>
      </c>
      <c r="T18" s="18"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and the individual viva question tally sheet.</t>
        </is>
      </c>
      <c r="U18" s="18" t="inlineStr">
        <is>
          <t>• Invigilated offline lab; confirmed machine count; spare machines; power contingency.
• USB or local drop folder collection.
• Printed task sheets per variant; printed Part B booklets.
• Second invigilator for any sitting above 40 students.
• Rubric published in Week 11.</t>
        </is>
      </c>
      <c r="V18" s="18" t="inlineStr">
        <is>
          <t>DIVERGENT: the three dataset variants and their mark schemes. SHARED: format, rules, duration, rubric.</t>
        </is>
      </c>
    </row>
    <row r="19" ht="220" customHeight="1">
      <c r="A19" s="15" t="n">
        <v>15</v>
      </c>
      <c r="B19" s="16" t="inlineStr">
        <is>
          <t>Block 5 - Engineering Project</t>
        </is>
      </c>
      <c r="C19" s="16" t="inlineStr">
        <is>
          <t>Mon 14 Dec 2026</t>
        </is>
      </c>
      <c r="D19" s="16" t="inlineStr">
        <is>
          <t>Tue 15 Dec 2026
11:00-14:00 · Room 106</t>
        </is>
      </c>
      <c r="E19" s="16" t="inlineStr">
        <is>
          <t>Cohort A</t>
        </is>
      </c>
      <c r="F19" s="16" t="inlineStr">
        <is>
          <t>CML3112</t>
        </is>
      </c>
      <c r="G19" s="16" t="inlineStr">
        <is>
          <t>Introduction to Machine Learning in Design &amp; Infrastructure</t>
        </is>
      </c>
      <c r="H19" s="16" t="inlineStr">
        <is>
          <t>Engineering ML Demo Day, individual viva and reflection</t>
        </is>
      </c>
      <c r="I19" s="16"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16" t="inlineStr">
        <is>
          <t>• 0:00-0:10  Running order, rules, and the marking process explained.
• 0:10-2:20  DEMO FAIR, two rounds. Teams present at stations (laptop plus a one-page poster) while the lecturer and invited staff circulate. Every team presents to at least four peer assessors. Format scales: large cohorts run the fair plus a shortlist of six plenary demos; cohorts of ten to twelve teams present in plenary throughout.
•    (inside the fair)  INDIVIDUAL VIVA SAMPLING. While the fair runs, every student is asked two questions from the viva bank about their own repository, recorded on a tally sheet. Ninety seconds each. This is the mechanism that makes a team mark individually accountable.
• 2:20-2:40  PLENARY: shortlisted demos and the award of recognition (Best Engineering Reasoning, Best Investigation, Most Honest Limitations - deliberately not 'Highest Accuracy').
• 2:40-2:55  Feedback synthesis: what the cohort achieved, measured against the Week 1 promise. Semester 2 preview.
• 2:55-3:00  Individual reflection submitted.</t>
        </is>
      </c>
      <c r="K19" s="16"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16" t="inlineStr">
        <is>
          <t>• Whatever the project required - the tool list is now the students' choice, which is itself the outcome being demonstrated.
• Optional and encouraged: a Streamlit interface, for teams who went beyond the brief.
• GitHub as the submission surface; the repository URL is the deliverable.</t>
        </is>
      </c>
      <c r="M19" s="16" t="inlineStr">
        <is>
          <t>The demonstration is the assessment. Deliverables due at the start of the session: repository URL, two-page engineering brief, one-page poster, AI-use declaration, individual contribution log, and a 500-word individual reflection.</t>
        </is>
      </c>
      <c r="N19" s="16" t="inlineStr">
        <is>
          <t>Team-selected. Example project titles for this cohort: Building Energy Predictor; Concrete Strength Estimator with a stated confidence range; Pavement Deterioration Forecast; Construction Cost Estimator; Infrastructure Defect Classifier; Design Option Screener.</t>
        </is>
      </c>
      <c r="O19" s="16" t="inlineStr">
        <is>
          <t>The viva. Two unseen questions about their own work, answered on the spot, with no preparation and no tools.</t>
        </is>
      </c>
      <c r="P19" s="16" t="inlineStr">
        <is>
          <t>None. Semester 2 pre-reading and an optional holiday challenge are issued for students who want to keep going.</t>
        </is>
      </c>
      <c r="Q19" s="16" t="inlineStr">
        <is>
          <t>—</t>
        </is>
      </c>
      <c r="R19" s="16" t="inlineStr">
        <is>
          <t>ENGINEERING ML PROJECT FINAL SUBMISSION (25%). Demo, viva and reflection (10%).</t>
        </is>
      </c>
      <c r="S19" s="16" t="inlineStr">
        <is>
          <t>Engineering ML Project 25% - rubric: problem definition 15, data understanding 15, methodology 20, engineering reasoning 20, validation 15, communication 10, reproducibility and documentation 5. Demo, viva and individual reflection 10%. Peer assessment is advisory and moderated by the lecturer, never used raw.</t>
        </is>
      </c>
      <c r="T19" s="16" t="inlineStr">
        <is>
          <t>• Invite Faculty staff and, if possible, one external practising engineer as assessors - it raises the standard of every submission more than any amount of exhortation.
• Build the viva question bank (twenty questions keyed to the repository, not to the topic) and the tally sheet.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16" t="inlineStr">
        <is>
          <t>• Fair-capable room with power at the perimeter; poster stands or tape.
• Invited assessors and printed assessor packs with the rubric.
• Printed viva tally sheets and peer assessment forms.
• Certificates for the three recognitions.
• Camera to record demos for the programme's own portfolio, with student consent.</t>
        </is>
      </c>
      <c r="V19" s="16" t="inlineStr">
        <is>
          <t>DIVERGENT: project titles and invited assessors (invite a structural or building services engineer). SHARED: demo format, viva bank structure, rubric.</t>
        </is>
      </c>
    </row>
  </sheetData>
  <autoFilter ref="A4:V19"/>
  <mergeCells count="2">
    <mergeCell ref="A1:T1"/>
    <mergeCell ref="A2:T2"/>
  </mergeCells>
  <pageMargins left="0.75" right="0.75" top="1" bottom="1" header="0.5" footer="0.5"/>
</worksheet>
</file>

<file path=xl/worksheets/sheet5.xml><?xml version="1.0" encoding="utf-8"?>
<worksheet xmlns="http://schemas.openxmlformats.org/spreadsheetml/2006/main">
  <sheetPr>
    <tabColor rgb="00BF8F00"/>
    <outlinePr summaryBelow="1" summaryRight="1"/>
    <pageSetUpPr/>
  </sheetPr>
  <dimension ref="A1:V19"/>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27" customWidth="1" min="4" max="4"/>
    <col width="9" customWidth="1" min="5" max="5"/>
    <col width="12" customWidth="1" min="6" max="6"/>
    <col width="40" customWidth="1" min="7" max="7"/>
    <col width="34" customWidth="1" min="8" max="8"/>
    <col width="62" customWidth="1" min="9" max="9"/>
    <col width="78" customWidth="1" min="10" max="10"/>
    <col width="56" customWidth="1" min="11" max="11"/>
    <col width="50" customWidth="1" min="12" max="12"/>
    <col width="60" customWidth="1" min="13" max="13"/>
    <col width="60" customWidth="1" min="14" max="14"/>
    <col width="56" customWidth="1" min="15" max="15"/>
    <col width="44" customWidth="1" min="16" max="16"/>
    <col width="54" customWidth="1" min="17" max="17"/>
    <col width="40" customWidth="1" min="18" max="18"/>
    <col width="46" customWidth="1" min="19" max="19"/>
    <col width="70" customWidth="1" min="20" max="20"/>
    <col width="52" customWidth="1" min="21" max="21"/>
    <col width="46" customWidth="1" min="22" max="22"/>
  </cols>
  <sheetData>
    <row r="1" ht="26" customHeight="1">
      <c r="A1" s="1" t="inlineStr">
        <is>
          <t>Cohort B — Introduction to Machine Learning in Mining &amp; Petroleum Engineering</t>
        </is>
      </c>
    </row>
    <row r="2" ht="18" customHeight="1">
      <c r="A2" s="2" t="inlineStr">
        <is>
          <t>Petroleum Engineering + Mining Engineering · ~40-50 students (est. 10 project teams of 4-5) · one 3-hour session per week · 45 contact hours · FRIDAY 08:00-11:00, Room 105</t>
        </is>
      </c>
    </row>
    <row r="4" ht="44" customHeight="1">
      <c r="A4" s="6" t="inlineStr">
        <is>
          <t>Week</t>
        </is>
      </c>
      <c r="B4" s="6" t="inlineStr">
        <is>
          <t>Block / Phase</t>
        </is>
      </c>
      <c r="C4" s="6" t="inlineStr">
        <is>
          <t>Week commencing</t>
        </is>
      </c>
      <c r="D4" s="6" t="inlineStr">
        <is>
          <t>Session date · time · room</t>
        </is>
      </c>
      <c r="E4" s="6" t="inlineStr">
        <is>
          <t>Cohort</t>
        </is>
      </c>
      <c r="F4" s="6" t="inlineStr">
        <is>
          <t>Course code</t>
        </is>
      </c>
      <c r="G4" s="6" t="inlineStr">
        <is>
          <t>Course title</t>
        </is>
      </c>
      <c r="H4" s="6" t="inlineStr">
        <is>
          <t>Topic</t>
        </is>
      </c>
      <c r="I4" s="6" t="inlineStr">
        <is>
          <t>Learning objectives (by the end of the session, students can…)</t>
        </is>
      </c>
      <c r="J4" s="6" t="inlineStr">
        <is>
          <t>3-hour session structure</t>
        </is>
      </c>
      <c r="K4" s="6" t="inlineStr">
        <is>
          <t>Concepts introduced</t>
        </is>
      </c>
      <c r="L4" s="6" t="inlineStr">
        <is>
          <t>Tools introduced</t>
        </is>
      </c>
      <c r="M4" s="6" t="inlineStr">
        <is>
          <t>Practical / lab</t>
        </is>
      </c>
      <c r="N4" s="6" t="inlineStr">
        <is>
          <t>Dataset(s)</t>
        </is>
      </c>
      <c r="O4" s="6" t="inlineStr">
        <is>
          <t>Interactive challenge</t>
        </is>
      </c>
      <c r="P4" s="6" t="inlineStr">
        <is>
          <t>Assignment (due next session)</t>
        </is>
      </c>
      <c r="Q4" s="6" t="inlineStr">
        <is>
          <t>Weekly quiz (QR, auto-graded)</t>
        </is>
      </c>
      <c r="R4" s="6" t="inlineStr">
        <is>
          <t>Project milestone</t>
        </is>
      </c>
      <c r="S4" s="6" t="inlineStr">
        <is>
          <t>Assessment relevance</t>
        </is>
      </c>
      <c r="T4" s="6" t="inlineStr">
        <is>
          <t>Lecturer preparation</t>
        </is>
      </c>
      <c r="U4" s="6" t="inlineStr">
        <is>
          <t>Required resources</t>
        </is>
      </c>
      <c r="V4" s="6" t="inlineStr">
        <is>
          <t>Shared vs cohort-specific</t>
        </is>
      </c>
    </row>
    <row r="5" ht="220" customHeight="1">
      <c r="A5" s="10" t="n">
        <v>1</v>
      </c>
      <c r="B5" s="11" t="inlineStr">
        <is>
          <t>Block 1 - Orientation &amp; Computational Thinking</t>
        </is>
      </c>
      <c r="C5" s="11" t="inlineStr">
        <is>
          <t>Mon 07 Sep 2026</t>
        </is>
      </c>
      <c r="D5" s="11" t="inlineStr">
        <is>
          <t>Fri 11 Sep 2026
08:00-11:00 · Room 105</t>
        </is>
      </c>
      <c r="E5" s="11" t="inlineStr">
        <is>
          <t>Cohort B</t>
        </is>
      </c>
      <c r="F5" s="11" t="inlineStr">
        <is>
          <t>CML3113</t>
        </is>
      </c>
      <c r="G5" s="11" t="inlineStr">
        <is>
          <t>Introduction to Machine Learning in Mining &amp; Petroleum Engineering</t>
        </is>
      </c>
      <c r="H5" s="11" t="inlineStr">
        <is>
          <t>The engineering problem that needs data</t>
        </is>
      </c>
      <c r="I5" s="11"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11"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48-hour link and say so out loud.</t>
        </is>
      </c>
      <c r="K5" s="11"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11"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11"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B FRAMING: Framing question for the mining stream: 'The silica assay takes an hour to come back from the laboratory. Can we know it now, from the process variables we already measure?' Framing question for the petroleum stream: 'Can we predict lithology or production from logs we already have, without drilling again?'</t>
        </is>
      </c>
      <c r="N5" s="11" t="inlineStr">
        <is>
          <t>Printed 12-row extract of the froth flotation process data (Kaggle, 'Quality Prediction in a Mining Process'): iron and silica feed grades, starch and amina flow, pulp pH and density, column air flow and level -&gt; percentage silica in the concentrate. Row 13's silica is withheld.</t>
        </is>
      </c>
      <c r="O5" s="11" t="inlineStr">
        <is>
          <t>Problem Hunt (see structure). Deliberately unguided: no template, no worked example. The lecturer only asks questions.</t>
        </is>
      </c>
      <c r="P5" s="11" t="inlineStr">
        <is>
          <t>A1 (one page): 'Three problems, one dataset' - three candidate ML problems from their discipline, the data each would need, and where that data might come from. PLUS the environment install checklist to be completed before Week 2.</t>
        </is>
      </c>
      <c r="Q5" s="11"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11" t="inlineStr">
        <is>
          <t>Project teams formed and registered. Team charter signed (roles, contact, meeting slot, conflict rule).</t>
        </is>
      </c>
      <c r="S5" s="11" t="inlineStr">
        <is>
          <t>A1 contributes to Practical Challenges &amp; Assignments (10%). Marked pass / redo - the point is engagement, not polish.</t>
        </is>
      </c>
      <c r="T5" s="11"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B: Problem Hunt prompt cards for exploration, ore and mineral classification, reservoir characterisation, production, drilling, equipment health, safety and operational optimisation.</t>
        </is>
      </c>
      <c r="U5" s="11" t="inlineStr">
        <is>
          <t>• Projector, whiteboard, marker pens, flipchart or A3 sheets.
• Printed dataset extracts, printed install guide, printed course outline.
• Laptop-access survey (paper, for 100% return).
• No student computers required this week - by design.</t>
        </is>
      </c>
      <c r="V5" s="11" t="inlineStr">
        <is>
          <t>DIVERGENT: anchor dataset, framing questions, Problem Hunt prompts. SHARED: everything else.</t>
        </is>
      </c>
    </row>
    <row r="6" ht="220" customHeight="1">
      <c r="A6" s="12" t="n">
        <v>2</v>
      </c>
      <c r="B6" s="13" t="inlineStr">
        <is>
          <t>Block 1 - Orientation &amp; Computational Thinking</t>
        </is>
      </c>
      <c r="C6" s="13" t="inlineStr">
        <is>
          <t>Mon 14 Sep 2026</t>
        </is>
      </c>
      <c r="D6" s="13" t="inlineStr">
        <is>
          <t>Fri 18 Sep 2026
08:00-11:00 · Room 105</t>
        </is>
      </c>
      <c r="E6" s="13" t="inlineStr">
        <is>
          <t>Cohort B</t>
        </is>
      </c>
      <c r="F6" s="13" t="inlineStr">
        <is>
          <t>CML3113</t>
        </is>
      </c>
      <c r="G6" s="13" t="inlineStr">
        <is>
          <t>Introduction to Machine Learning in Mining &amp; Petroleum Engineering</t>
        </is>
      </c>
      <c r="H6" s="13" t="inlineStr">
        <is>
          <t>The development environment: where engineers actually write code</t>
        </is>
      </c>
      <c r="I6" s="13" t="inlineStr">
        <is>
          <t>• Install and verify Python and VS Code, or work confidently in the approved cloud fallback.
• Navigate the filesystem from a terminal and explain the working directory.
• Create and run both a .py script and a .ipynb notebook, and say when each is appropriate.
• Install a package and import it successfully.
• Create a repository, write a README, commit and push.
• Locate a dataset on Kaggle and read its description page.</t>
        </is>
      </c>
      <c r="J6" s="13" t="inlineStr">
        <is>
          <t>• 0:00-0:20  The tool map: seven tools, each introduced by the problem it solves (Where do I write code? Where do I experiment? Where do I get data? Where do I keep versions?). No tool is named before its problem.
• 0:20-1:00  Install and verification clinic, run as a relay: students who finish become 'floor helpers' with a badge. Lab machines and Google Colab are the two fallbacks so nobody spends the session watching a progress bar.
• 1:00-1:35  Terminal basics (pwd, ls, cd, mkdir) and the first script. Students write, save and run hello_engineering.py, then modify it to print a discipline-specific calculation.
• 1:35-2:15  First notebook: cells, markdown, execution order. The out-of-order-cell trap is demonstrated deliberately so students meet it here rather than in Week 14.
• 2:15-2:45  Git and GitHub: repo, README, first commit, push. Every student ends the session with a live URL.
• 2:45-3:00  CHALLENGE - Break and Fix, then assignment issued.
• LAST FIVE MINUTES — QUIZ 2 - notebooks and version control. Open the Form, project the QR, give it exactly five minutes, close it, and show the cohort's score distribution before they leave. Worth 1%, best 10 of 12 count, no resits. If the network is down, convert it to a 48-hour link and say so out loud.</t>
        </is>
      </c>
      <c r="K6" s="13" t="inlineStr">
        <is>
          <t>• Interpreter, script, package, package manager, virtual environment (light touch - one command, one explanation).
• Absolute vs relative path, working directory.
• Notebook kernel, cell execution order and hidden state.
• .py vs .ipynb: reproducible pipeline vs exploratory narrative.
• Repository, commit, push, README as the front door of a project.</t>
        </is>
      </c>
      <c r="L6" s="13" t="inlineStr">
        <is>
          <t>• Python 3.11+ and pip.
• VS Code with the Python and Jupyter extensions.
• Terminal / command line.
• Jupyter Notebook.
• Git and GitHub (repo, README, commit, push).
• Kaggle (navigation and dataset pages only).
• Google Colab - the declared fallback for students without a capable laptop.</t>
        </is>
      </c>
      <c r="M6" s="13" t="inlineStr">
        <is>
          <t>Lab 2 'Proof of life': verify the Python version, install pandas, import it, print its version, run one script and one notebook, and push all of it to a personal repository with a README that states the student's programme and one engineering problem they care about.</t>
        </is>
      </c>
      <c r="N6" s="13" t="inlineStr">
        <is>
          <t>None. A single small CSV is opened only to prove the environment works.</t>
        </is>
      </c>
      <c r="O6" s="13" t="inlineStr">
        <is>
          <t>Break and Fix. The lecturer distributes four pre-broken notebooks/environments - ModuleNotFoundError, wrong kernel selected, FileNotFoundError from a wrong relative path, and cells run out of order producing a wrong answer. Teams must diagnose and state the cause in one sentence each. This is the first lesson in reading errors instead of fearing them.</t>
        </is>
      </c>
      <c r="P6" s="13" t="inlineStr">
        <is>
          <t>A2 'Proof of Life' (brief written: setup/A2_assignment_brief.md): a repository containing the READY block from check_setup.py, the run notebook, their first script with one change they made and described, and a README. Due at the start of Week 3. Marked pass / merit / redo.</t>
        </is>
      </c>
      <c r="Q6" s="13" t="inlineStr">
        <is>
          <t>QUIZ 2 - notebooks and version control
Out-of-order execution diagnosed from a cell-numbering trace, what Restart and Run All proves, and reading one git status output. The interpretation question asks the student to read their own setup output, which is what gives you the readiness signal before Week 3 starts depending on it.</t>
        </is>
      </c>
      <c r="R6" s="13" t="inlineStr">
        <is>
          <t>Team repository created on GitHub with all members as collaborators.</t>
        </is>
      </c>
      <c r="S6" s="13" t="inlineStr">
        <is>
          <t>A2 contributes to Practical Challenges &amp; Assignments (10%). Also the gate for Week 3 - a student without a working environment cannot progress, so the clinic continues in office hours.</t>
        </is>
      </c>
      <c r="T6" s="13" t="inlineStr">
        <is>
          <t>• THIS WEEK HAS ITS OWN DOCUMENT. Use the Week 2 Lecturer Runsheet, which supersedes the timings in this row: it starts the file copying at 0:00 before any teaching, because distributing the bundle - not installing it - is the real bottleneck. The Student Setup Guide is issued in Week 1 and the tested scripts are in the setup/ folder.
• CRITICAL: pre-download offline installers (Python, VS Code, extensions, pandas/numpy/matplotlib/seaborn/scikit-learn wheels) onto USB drives and the local network share. 100 simultaneous downloads will not work. Use setup/build_offline_bundle.sh.
• CRITICAL: fix ONE Python minor version for the whole course and make the USB installer, build_offline_bundle.sh and check_setup.py all agree. Wheels are tied to the minor version, and a mismatch cannot be fixed during the session.
• Prepare the four broken notebooks for Break and Fix.
• Pre-provision lab machines and test them with a student account, not an admin account.
• Create Colab fallback links and confirm they open on the campus network.
• Recruit and brief 6-8 floor helpers (strongest students from the Week 1 survey).</t>
        </is>
      </c>
      <c r="U6" s="13" t="inlineStr">
        <is>
          <t>• Computer lab or BYOD with power sockets - confirm socket count against class size.
• USB drives with offline installers; local network share.
• Printed one-page command cheat sheet (works when the projector fails).
• Floor-helper badges.
• Contingency: if bandwidth collapses, the session runs entirely on lab machines plus the printed cheat sheet.</t>
        </is>
      </c>
      <c r="V6" s="13" t="inlineStr">
        <is>
          <t>Largely shared — check the Shared vs Divergent sheet.</t>
        </is>
      </c>
    </row>
    <row r="7" ht="220" customHeight="1">
      <c r="A7" s="10" t="n">
        <v>3</v>
      </c>
      <c r="B7" s="11" t="inlineStr">
        <is>
          <t>Block 1 - Orientation &amp; Computational Thinking</t>
        </is>
      </c>
      <c r="C7" s="11" t="inlineStr">
        <is>
          <t>Mon 21 Sep 2026</t>
        </is>
      </c>
      <c r="D7" s="11" t="inlineStr">
        <is>
          <t>Fri 25 Sep 2026
08:00-11:00 · Room 105</t>
        </is>
      </c>
      <c r="E7" s="11" t="inlineStr">
        <is>
          <t>Cohort B</t>
        </is>
      </c>
      <c r="F7" s="11" t="inlineStr">
        <is>
          <t>CML3113</t>
        </is>
      </c>
      <c r="G7" s="11" t="inlineStr">
        <is>
          <t>Introduction to Machine Learning in Mining &amp; Petroleum Engineering</t>
        </is>
      </c>
      <c r="H7" s="11" t="inlineStr">
        <is>
          <t>Python as an engineering calculator</t>
        </is>
      </c>
      <c r="I7" s="11"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11"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48-hour link and say so out loud.</t>
        </is>
      </c>
      <c r="K7" s="11"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11"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11"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B FRAMING: Formula set: ore tonnage from volume and bulk density; contained metal from grade and tonnage; mill recovery and dilution; a two-stream mass balance; rate of penetration from drilling parameters; volumetric original-oil-in-place; gas-oil ratio.</t>
        </is>
      </c>
      <c r="N7" s="11" t="inlineStr">
        <is>
          <t>No dataset - formula-driven.</t>
        </is>
      </c>
      <c r="O7" s="11" t="inlineStr">
        <is>
          <t>Wrong Answer Hunt - six silently wrong functions. Chosen because 'it ran, therefore it is right' is the single most dangerous belief a beginner can form, and it is fatal later in model evaluation.</t>
        </is>
      </c>
      <c r="P7" s="11" t="inlineStr">
        <is>
          <t>A3: functions.py with five documented, tested functions and a short notebook demonstrating each, pushed to the repository.</t>
        </is>
      </c>
      <c r="Q7" s="11" t="inlineStr">
        <is>
          <t>QUIZ 3 - Python as an engineering calculator
A unit error that returns a plausible wrong number, a function that returns nothing because it prints instead, an if-chain whose branches are in the wrong order, and one traceback.</t>
        </is>
      </c>
      <c r="R7" s="11" t="inlineStr">
        <is>
          <t>Team repository has a working code file and a commit history with more than one contributor.</t>
        </is>
      </c>
      <c r="S7" s="11" t="inlineStr">
        <is>
          <t>A3 contributes to Practical Challenges &amp; Assignments (10%). Function-writing and traceback-reading are directly examined in Practical Test 1 (Week 7).</t>
        </is>
      </c>
      <c r="T7" s="11"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11" t="inlineStr">
        <is>
          <t>• Computers, projector, printed formula sheet for the cohort.
• Printed Python syntax cheat sheet (one page, both sides).
• Wrong Answer Hunt notebook distributed offline via USB or the network share.</t>
        </is>
      </c>
      <c r="V7" s="11" t="inlineStr">
        <is>
          <t>DIVERGENT: the six formulas and the Wrong Answer Hunt traps (grams per tonne vs percent, barrels vs cubic metres, wet vs dry tonnes). SHARED: all concepts and structure.</t>
        </is>
      </c>
    </row>
    <row r="8" ht="220" customHeight="1">
      <c r="A8" s="12" t="n">
        <v>4</v>
      </c>
      <c r="B8" s="13" t="inlineStr">
        <is>
          <t>Block 1 - Orientation &amp; Computational Thinking</t>
        </is>
      </c>
      <c r="C8" s="13" t="inlineStr">
        <is>
          <t>Mon 28 Sep 2026</t>
        </is>
      </c>
      <c r="D8" s="13" t="inlineStr">
        <is>
          <t>Fri 02 Oct 2026
08:00-11:00 · Room 105</t>
        </is>
      </c>
      <c r="E8" s="13" t="inlineStr">
        <is>
          <t>Cohort B</t>
        </is>
      </c>
      <c r="F8" s="13" t="inlineStr">
        <is>
          <t>CML3113</t>
        </is>
      </c>
      <c r="G8" s="13" t="inlineStr">
        <is>
          <t>Introduction to Machine Learning in Mining &amp; Petroleum Engineering</t>
        </is>
      </c>
      <c r="H8" s="13" t="inlineStr">
        <is>
          <t>Python for problem solving: collections, loops and files</t>
        </is>
      </c>
      <c r="I8" s="13"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13"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48-hour link and say so out loud.</t>
        </is>
      </c>
      <c r="K8" s="13"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13" t="inlineStr">
        <is>
          <t>• The csv module and open() - deliberately no pandas yet.
• The VS Code debugger on a loop, to watch an accumulator fill.
• Git: incremental commits during the build.</t>
        </is>
      </c>
      <c r="M8" s="13" t="inlineStr">
        <is>
          <t>Reading Report script (see structure). Core tier: handle a clean file. Stretch tier: survive a file containing blank lines, a stray text value in a numeric column and a duplicated header row - which is exactly what Week 6 formalises.</t>
        </is>
      </c>
      <c r="N8" s="13" t="inlineStr">
        <is>
          <t>COURSE-AUTHORED: 'drill_shift_log.csv' (~300 rows) - a fictional but realistic shift log with hole ID, depth, rate of penetration, bit type, operator, downtime minutes and a downtime reason code. Contains one genuine finding (one bit type or one shift pattern with systematically worse performance), two red herrings and realistic dirt.</t>
        </is>
      </c>
      <c r="O8" s="13"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13" t="inlineStr">
        <is>
          <t>A4: the Reading Report script plus 150 words on the most interesting thing they found in the Investigation Lab file and why an engineer should care.</t>
        </is>
      </c>
      <c r="Q8" s="13" t="inlineStr">
        <is>
          <t>QUIZ 4 - collections, loops and files
An accumulator reset inside the loop, a range off-by-one, a value read from a file as a string, and a skipped-row count that was never reported.</t>
        </is>
      </c>
      <c r="R8" s="13" t="inlineStr">
        <is>
          <t>Each team submits a one-paragraph statement of the kind of engineering problem it wants to work on for the semester (not yet a dataset).</t>
        </is>
      </c>
      <c r="S8" s="13" t="inlineStr">
        <is>
          <t>A4 contributes to Practical Challenges &amp; Assignments (10%). Investigation Lab 1 is the direct rehearsal for Practical Test 1 in Week 7 and establishes the no-spoon-feeding norm.</t>
        </is>
      </c>
      <c r="T8" s="13"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13" t="inlineStr">
        <is>
          <t>• Computers, the Investigation Lab data file distributed offline.
• Printed question-bank cards.
• Timer visible to the room - the pitch round must not overrun.
• Flipchart for the findings pitches.</t>
        </is>
      </c>
      <c r="V8" s="13" t="inlineStr">
        <is>
          <t>DIVERGENT: the Investigation Lab file and its planted story. SHARED: all Python content.</t>
        </is>
      </c>
    </row>
    <row r="9" ht="220" customHeight="1">
      <c r="A9" s="15" t="n">
        <v>5</v>
      </c>
      <c r="B9" s="16" t="inlineStr">
        <is>
          <t>Block 2 - Engineering Data</t>
        </is>
      </c>
      <c r="C9" s="16" t="inlineStr">
        <is>
          <t>Mon 05 Oct 2026</t>
        </is>
      </c>
      <c r="D9" s="16" t="inlineStr">
        <is>
          <t>Fri 09 Oct 2026
08:00-11:00 · Room 105</t>
        </is>
      </c>
      <c r="E9" s="16" t="inlineStr">
        <is>
          <t>Cohort B</t>
        </is>
      </c>
      <c r="F9" s="16" t="inlineStr">
        <is>
          <t>CML3113</t>
        </is>
      </c>
      <c r="G9" s="16" t="inlineStr">
        <is>
          <t>Introduction to Machine Learning in Mining &amp; Petroleum Engineering</t>
        </is>
      </c>
      <c r="H9" s="16" t="inlineStr">
        <is>
          <t>NumPy and pandas: the engineer's data table, and where data comes from</t>
        </is>
      </c>
      <c r="I9" s="16"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16"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48-hour link and say so out loud.</t>
        </is>
      </c>
      <c r="K9" s="16"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16" t="inlineStr">
        <is>
          <t>• NumPy.
• pandas.
• Kaggle (search, dataset cards, download, public notebooks as worked examples).
• UCI Machine Learning Repository and the ucimlrepo package.
• Jupyter as the primary surface from this week onward.</t>
        </is>
      </c>
      <c r="M9" s="16" t="inlineStr">
        <is>
          <t>Twelve Questions interrogation notebook on the anchor dataset (see structure). Core tier: answer all twelve. Stretch tier: add two questions of their own and answer them.
COHORT B FRAMING: The twelve questions include: how does silica in the concentrate vary with iron in the feed; which flotation columns show the widest air flow variation; does pulp pH band relate to concentrate quality; what is the distribution of starch flow; and for the well logs, how does gamma ray response differ between two named lithologies.</t>
        </is>
      </c>
      <c r="N9" s="16" t="inlineStr">
        <is>
          <t>ANCHOR: a 20,000-row teaching subset of 'Quality Prediction in a Mining Process' (Kaggle, edumagalhaes) - the full file is roughly 737,000 rows x 24 columns sampled every 20 seconds, which is too large for a first pandas session and must be subset in preparation. SECONDARY: FORCE 2020 well logs (GitHub bolgebrygg; labels CC BY 4.0, log data NLOD 2.0) reduced to three wells for the petroleum stream.</t>
        </is>
      </c>
      <c r="O9" s="16" t="inlineStr">
        <is>
          <t>Ten Questions, No Help - a timed, unassisted interrogation of an unfamiliar dataset. Directly calibrates students against the Week 7 test format.</t>
        </is>
      </c>
      <c r="P9" s="16" t="inlineStr">
        <is>
          <t>A5: the Twelve Questions notebook, pushed with a README section describing the dataset's source and licence.</t>
        </is>
      </c>
      <c r="Q9" s="16" t="inlineStr">
        <is>
          <t>QUIZ 5 - pandas and judging a dataset
A mask confused with a filtered frame, a groupby result whose shape is misread, a dtype of 'object' on a numeric column, and one question on where a dataset came from.</t>
        </is>
      </c>
      <c r="R9" s="16" t="inlineStr">
        <is>
          <t>DATA ANALYSIS PROJECT launched. Each team selects a dataset from the approved list (or proposes one for approval), and registers the engineering question it will answer.</t>
        </is>
      </c>
      <c r="S9" s="16" t="inlineStr">
        <is>
          <t>A5 contributes to Practical Challenges &amp; Assignments (10%). The Data Analysis Project is 10% in its own right. pandas fluency is the core of Practical Test 1 (Week 7).</t>
        </is>
      </c>
      <c r="T9" s="16"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
• COHORT B: CRITICAL PREPARATION: subset the flotation dataset to about 20,000 rows and the well logs to three wells, and stage both offline. Handing 737,000 rows to a five-week-old programmer is a guaranteed failure.</t>
        </is>
      </c>
      <c r="U9" s="16"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16" t="inlineStr">
        <is>
          <t>DIVERGENT: anchor dataset and the twelve questions. SHARED: all pandas and NumPy content and the sourcing segment.</t>
        </is>
      </c>
    </row>
    <row r="10" ht="220" customHeight="1">
      <c r="A10" s="12" t="n">
        <v>6</v>
      </c>
      <c r="B10" s="13" t="inlineStr">
        <is>
          <t>Block 2 - Engineering Data</t>
        </is>
      </c>
      <c r="C10" s="13" t="inlineStr">
        <is>
          <t>Mon 12 Oct 2026</t>
        </is>
      </c>
      <c r="D10" s="13" t="inlineStr">
        <is>
          <t>Fri 16 Oct 2026
08:00-11:00 · Room 105</t>
        </is>
      </c>
      <c r="E10" s="13" t="inlineStr">
        <is>
          <t>Cohort B</t>
        </is>
      </c>
      <c r="F10" s="13" t="inlineStr">
        <is>
          <t>CML3113</t>
        </is>
      </c>
      <c r="G10" s="13" t="inlineStr">
        <is>
          <t>Introduction to Machine Learning in Mining &amp; Petroleum Engineering</t>
        </is>
      </c>
      <c r="H10" s="13" t="inlineStr">
        <is>
          <t>Dirty data, and seeing it: data quality through visualisation</t>
        </is>
      </c>
      <c r="I10" s="13"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13" t="inlineStr">
        <is>
          <t>• 0:00-0:30  Concept: real engineering data is broken, and the break is usually informative. Six defect classes are introduced with a physical story for each (a sensor that fails to zero, a technician who typed the units in, a duplicate export, a survey that was abandoned).
• 0:30-1:00  Demonstration: the same chart used twice - once to find a defect, once to report a finding. Missingness map, box plot for outliers, scatter for impossible relationships, correlation heatmap for redundancy.
• 1:00-2:10  PRACTICAL - Data Clinic. Students receive a deliberately damaged version of a familiar dataset and must find every defect, decide on and implement a handling strategy, and write one justifying sentence per decision. Marks are for the justification, not the fix.
• 2:10-2:45  CHALLENGE - The Outlier Argument. Teams get five flagged extreme values and must argue for each: measurement error to be removed, or real behaviour to be kept? They must commit and defend. There is no single right answer for two of the five, which is the point.
• 2:45-3:00  Data Analysis Project progress check and the 'every graph answers a question' rule restated as a marking criterion.
• LAST FIVE MINUTES — QUIZ 6 - dirty data, and seeing it. Open the Form, project the QR, give it exactly five minutes, close it, and show the cohort's score distribution before they leave. Worth 1%, best 10 of 12 count, no resits. If the network is down, convert it to a 48-hour link and say so out loud.</t>
        </is>
      </c>
      <c r="K10" s="13"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13"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13"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B FRAMING: Outlier Argument cases from mining and petroleum reality: an assay of 45 grams per tonne gold, a negative flow rate, a pulp pH of 14, a production spike immediately after a shutdown, and a bottom-hole pressure reading of zero.</t>
        </is>
      </c>
      <c r="N10" s="13" t="inlineStr">
        <is>
          <t>COURSE-AUTHORED damaged variant of the flotation subset, plus a fictional 'assay_register.csv' with sentinel-coded missing assays (-999), duplicated laboratory entries, grades entered in the wrong unit, and two genuinely arguable extremes (a real high-grade intersection and a suspected contaminated sample).</t>
        </is>
      </c>
      <c r="O10" s="13" t="inlineStr">
        <is>
          <t>The Outlier Argument - forces a judgement call with no lookup answer, and rewards domain reasoning over technique.</t>
        </is>
      </c>
      <c r="P10" s="13" t="inlineStr">
        <is>
          <t>A6: cleaning notebook, defect register, and data quality statement for the team's Data Analysis Project dataset.</t>
        </is>
      </c>
      <c r="Q10" s="13" t="inlineStr">
        <is>
          <t>QUIZ 6 - dirty data, and seeing it
A zero-coded missing value, a chart that does not answer the stated question, and an extreme value that has to be judged as an error or a real measurement.</t>
        </is>
      </c>
      <c r="R10" s="13" t="inlineStr">
        <is>
          <t>Data Analysis Project: cleaned dataset and at least four question-driven charts committed to the repository.</t>
        </is>
      </c>
      <c r="S10" s="13" t="inlineStr">
        <is>
          <t>A6 contributes to Practical Challenges &amp; Assignments (10%). Cleaning judgement and chart quality are 40% of the Practical Test 1 rubric.</t>
        </is>
      </c>
      <c r="T10" s="13"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13" t="inlineStr">
        <is>
          <t>• Computers; the damaged dataset offline; seaborn/matplotlib cheat sheet.
• Printed defect register template.
• Practical Test 1 information sheet and rubric for distribution.
• Colour printing or a good projector for the chart-quality comparison.</t>
        </is>
      </c>
      <c r="V10" s="13" t="inlineStr">
        <is>
          <t>DIVERGENT: the damaged dataset and the five outlier cases. SHARED: all cleaning and visualisation content.</t>
        </is>
      </c>
    </row>
    <row r="11" ht="220" customHeight="1">
      <c r="A11" s="17" t="n">
        <v>7</v>
      </c>
      <c r="B11" s="18" t="inlineStr">
        <is>
          <t>ASSESSMENT WEEK 1</t>
        </is>
      </c>
      <c r="C11" s="18" t="inlineStr">
        <is>
          <t>Mon 19 Oct 2026</t>
        </is>
      </c>
      <c r="D11" s="18" t="inlineStr">
        <is>
          <t>Fri 23 Oct 2026
08:00-11:00 · Room 105</t>
        </is>
      </c>
      <c r="E11" s="18" t="inlineStr">
        <is>
          <t>Cohort B</t>
        </is>
      </c>
      <c r="F11" s="18" t="inlineStr">
        <is>
          <t>CML3113</t>
        </is>
      </c>
      <c r="G11" s="18" t="inlineStr">
        <is>
          <t>Introduction to Machine Learning in Mining &amp; Petroleum Engineering</t>
        </is>
      </c>
      <c r="H11" s="18" t="inlineStr">
        <is>
          <t>PRACTICAL TEST 1 - Data Investigation (individual, offline)</t>
        </is>
      </c>
      <c r="I11" s="18"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writing, without tools.</t>
        </is>
      </c>
      <c r="J11" s="18"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no computer). Four short questions on their own submission: why that cleaning decision, what the chart does not show, what would change the conclusion, and what data is missing.
• 2:40-3:00  Collection, checksum of submissions, immediate structural check, dismissal.</t>
        </is>
      </c>
      <c r="K11" s="18" t="inlineStr">
        <is>
          <t>• No new concepts. Weeks 1-6 are examined: pandas, cleaning judgement, visualisation, engineering interpretation.
• Examined implicitly: the ability to proceed without instructions.</t>
        </is>
      </c>
      <c r="L11" s="18" t="inlineStr">
        <is>
          <t>• Permitted: Python, VS Code or Jupyter, pandas, NumPy, matplotlib, seaborn, and an OFFLINE documentation bundle.
• Prohibited: internet access, AI assistants, messaging, shared drives. The room runs offline - this is enforceable, which is why the test is designed this way.
• Rationale published to students in Week 6: AI is permitted and encouraged in projects, where the work is explained and defended; it is excluded from the two tests, which certify unaided capability.</t>
        </is>
      </c>
      <c r="M11" s="18" t="inlineStr">
        <is>
          <t>The test is the practical. Duration 2h00 practical + 0h25 written. Three parallel dataset variants are issued in a checkerboard seating pattern to remove any benefit from collusion.</t>
        </is>
      </c>
      <c r="N11" s="18" t="inlineStr">
        <is>
          <t>UNSEEN test datasets, three matched variants from mining or petroleum data. Suggested: a held-back slice of the flotation data from a different date range, a held-back set of FORCE 2020 wells, and a course-authored haulage or blast log. Variants matched for row count, defect count and difficulty.</t>
        </is>
      </c>
      <c r="O11" s="18" t="inlineStr">
        <is>
          <t>The entire assessment is the challenge: an unfamiliar dataset, no prescribed method, and marks awarded for reasoning as much as for result.</t>
        </is>
      </c>
      <c r="P11" s="18" t="inlineStr">
        <is>
          <t>None issued. Week 8 pre-reading only (a two-page primer on the idea of fitting a line), so the test week carries no homework load.</t>
        </is>
      </c>
      <c r="Q11" s="18" t="inlineStr">
        <is>
          <t>—</t>
        </is>
      </c>
      <c r="R11" s="18" t="inlineStr">
        <is>
          <t>Data Analysis Project continues outside class; due Week 8.</t>
        </is>
      </c>
      <c r="S11" s="18" t="inlineStr">
        <is>
          <t>PRACTICAL TEST 1 = 15% of the Semester 1 mark. Individual. Rubric: profiling 15, cleaning decisions and justification 20, visualisation 20, findings correctness 20, engineering interpretation 15, notebook clarity and reproducibility 10.</t>
        </is>
      </c>
      <c r="T11" s="18"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18" t="inlineStr">
        <is>
          <t>• Invigilated lab, offline. Confirmed machine count. Spare machines and a power contingency.
• USB drives or a local drop folder for collection.
• Printed task sheets (one per variant) and printed answer booklets for Part B.
• Second invigilator for any sitting above 40 students.
• Published rubric (issued Week 6).</t>
        </is>
      </c>
      <c r="V11" s="18" t="inlineStr">
        <is>
          <t>DIVERGENT: the three dataset variants and their mark schemes. SHARED: format, rules, duration, rubric, offline bundle.</t>
        </is>
      </c>
    </row>
    <row r="12" ht="220" customHeight="1">
      <c r="A12" s="12" t="n">
        <v>8</v>
      </c>
      <c r="B12" s="13" t="inlineStr">
        <is>
          <t>Block 3 - The Machine Learning Core</t>
        </is>
      </c>
      <c r="C12" s="13" t="inlineStr">
        <is>
          <t>Mon 26 Oct 2026</t>
        </is>
      </c>
      <c r="D12" s="13" t="inlineStr">
        <is>
          <t>Fri 30 Oct 2026
08:00-11:00 · Room 105</t>
        </is>
      </c>
      <c r="E12" s="13" t="inlineStr">
        <is>
          <t>Cohort B</t>
        </is>
      </c>
      <c r="F12" s="13" t="inlineStr">
        <is>
          <t>CML3113</t>
        </is>
      </c>
      <c r="G12" s="13" t="inlineStr">
        <is>
          <t>Introduction to Machine Learning in Mining &amp; Petroleum Engineering</t>
        </is>
      </c>
      <c r="H12" s="13" t="inlineStr">
        <is>
          <t>Learning from data: the first model</t>
        </is>
      </c>
      <c r="I12" s="13"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13"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48-hour link and say so out loud.</t>
        </is>
      </c>
      <c r="K12" s="13"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13"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13" t="inlineStr">
        <is>
          <t>First Model notebook (see structure). Core tier: a working, evaluated regression with the error stated in physical units. Stretch tier: a residual plot with a written interpretation of where the model is worst and a hypothesis as to why.
COHORT B FRAMING: The error must be reported as 'plus or minus X percentage points of silica', and the class must answer: would a metallurgist change a reagent set point on that basis? Tying the error to a real operating decision is what makes the metric mean something.</t>
        </is>
      </c>
      <c r="N12" s="13" t="inlineStr">
        <is>
          <t>Flotation subset (Kaggle) predicting percentage silica in the concentrate - a regression with an immediately meaningful commercial error unit.</t>
        </is>
      </c>
      <c r="O12" s="13" t="inlineStr">
        <is>
          <t>Beat the Baseline. The baseline is the pedagogical device: it makes 'R-squared = 0.62' mean something, and it makes an unimpressive model an interesting result rather than a failure.</t>
        </is>
      </c>
      <c r="P12" s="13" t="inlineStr">
        <is>
          <t>A7: regression notebook including the baseline comparison, the error in physical units, and three sentences on whether an engineer should act on this model.</t>
        </is>
      </c>
      <c r="Q12" s="13" t="inlineStr">
        <is>
          <t>QUIZ 7 - the first model
A score quoted on the training rows, a residual plot read the wrong way round, MAE against RMSE on the same data, and a baseline nobody computed.</t>
        </is>
      </c>
      <c r="R12" s="13" t="inlineStr">
        <is>
          <t>DATA ANALYSIS PROJECT DUE (10%). Engineering ML Project brief previewed; teams begin scoping.</t>
        </is>
      </c>
      <c r="S12" s="13" t="inlineStr">
        <is>
          <t>A7 contributes to Practical Challenges (10%). Data Analysis Project is submitted and marked (10%). Regression, metrics and train/test are core to Practical Test 2 (Week 14).</t>
        </is>
      </c>
      <c r="T12" s="13"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13" t="inlineStr">
        <is>
          <t>• Computers; anchor dataset offline; projector.
• Leaderboard display.
• Printed sklearn API card (fit / predict / score / metrics).
• Marked or triaged Test 1 scripts for the debrief.</t>
        </is>
      </c>
      <c r="V12" s="13" t="inlineStr">
        <is>
          <t>DIVERGENT: dataset, target and the operating decision question. SHARED: all regression and metric content.</t>
        </is>
      </c>
    </row>
    <row r="13" ht="220" customHeight="1">
      <c r="A13" s="10" t="n">
        <v>9</v>
      </c>
      <c r="B13" s="11" t="inlineStr">
        <is>
          <t>Block 3 - The Machine Learning Core</t>
        </is>
      </c>
      <c r="C13" s="11" t="inlineStr">
        <is>
          <t>Mon 02 Nov 2026</t>
        </is>
      </c>
      <c r="D13" s="11" t="inlineStr">
        <is>
          <t>Fri 06 Nov 2026
08:00-11:00 · Room 105</t>
        </is>
      </c>
      <c r="E13" s="11" t="inlineStr">
        <is>
          <t>Cohort B</t>
        </is>
      </c>
      <c r="F13" s="11" t="inlineStr">
        <is>
          <t>CML3113</t>
        </is>
      </c>
      <c r="G13" s="11" t="inlineStr">
        <is>
          <t>Introduction to Machine Learning in Mining &amp; Petroleum Engineering</t>
        </is>
      </c>
      <c r="H13" s="11" t="inlineStr">
        <is>
          <t>Classification: predicting which category a case belongs to</t>
        </is>
      </c>
      <c r="I13" s="11"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11"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48-hour link and say so out loud.</t>
        </is>
      </c>
      <c r="K13" s="11"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11" t="inlineStr">
        <is>
          <t>• scikit-learn: LogisticRegression, DecisionTreeClassifier, RandomForestClassifier, confusion_matrix, ConfusionMatrixDisplay, classification_report, plot_tree.
• seaborn for the confusion matrix heatmap.
• pandas for the cost table.</t>
        </is>
      </c>
      <c r="M13" s="11"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B FRAMING: Cost table categories: cost of an unnecessary equipment stoppage, cost of an undetected failure including lost production and safety consequence, cost of misclassifying ore as waste, and cost of misclassifying waste as ore.</t>
        </is>
      </c>
      <c r="N13" s="11" t="inlineStr">
        <is>
          <t>Two options. (i) FORCE 2020 well logs for multi-class lithology classification - genuinely imbalanced, genuinely hard, and real. (ii) AI4I 2020 Predictive Maintenance (UCI 601, 10,000 rows, 3.4% failure rate) framed as mining equipment failure, which supplies the imbalance for The 97% Trap.</t>
        </is>
      </c>
      <c r="O13" s="11" t="inlineStr">
        <is>
          <t>The 97% Trap. Deliberately adversarial. It inoculates students against the single most common failure in applied ML, and it is a low-guidance session by design.</t>
        </is>
      </c>
      <c r="P13" s="11" t="inlineStr">
        <is>
          <t>A8: classification notebook with the cost table and the metric recommendation.</t>
        </is>
      </c>
      <c r="Q13" s="11" t="inlineStr">
        <is>
          <t>QUIZ 8 - classification
A confusion matrix read for what the model does badly, an accuracy figure quoted without the class balance, and a threshold moved with its effect on each cell.</t>
        </is>
      </c>
      <c r="R13" s="11" t="inlineStr">
        <is>
          <t>ENGINEERING ML PROJECT launched (25%, runs to Week 15). Teams must register a problem statement, a candidate dataset and a named target variable by Week 10.</t>
        </is>
      </c>
      <c r="S13" s="11" t="inlineStr">
        <is>
          <t>A8 contributes to Practical Challenges (10%). The Engineering ML Project brief and rubric are now live. Classification and metric choice are examined in Practical Test 2.</t>
        </is>
      </c>
      <c r="T13" s="11"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11"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11" t="inlineStr">
        <is>
          <t>DIVERGENT: dataset, class definitions and cost categories. SHARED: all classification content and the 97% Trap design.</t>
        </is>
      </c>
    </row>
    <row r="14" ht="220" customHeight="1">
      <c r="A14" s="12" t="n">
        <v>10</v>
      </c>
      <c r="B14" s="13" t="inlineStr">
        <is>
          <t>Block 3 - The Machine Learning Core</t>
        </is>
      </c>
      <c r="C14" s="13" t="inlineStr">
        <is>
          <t>Mon 09 Nov 2026</t>
        </is>
      </c>
      <c r="D14" s="13" t="inlineStr">
        <is>
          <t>Fri 13 Nov 2026
08:00-11:00 · Room 105</t>
        </is>
      </c>
      <c r="E14" s="13" t="inlineStr">
        <is>
          <t>Cohort B</t>
        </is>
      </c>
      <c r="F14" s="13" t="inlineStr">
        <is>
          <t>CML3113</t>
        </is>
      </c>
      <c r="G14" s="13" t="inlineStr">
        <is>
          <t>Introduction to Machine Learning in Mining &amp; Petroleum Engineering</t>
        </is>
      </c>
      <c r="H14" s="13" t="inlineStr">
        <is>
          <t>Can I trust this model?</t>
        </is>
      </c>
      <c r="I14" s="13"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13"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48-hour link and say so out loud.</t>
        </is>
      </c>
      <c r="K14" s="13"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13"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13"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13" t="inlineStr">
        <is>
          <t>The team's own project dataset, plus three course-authored 'Too Good To Be True' notebooks. Planted causes for this cohort: the laboratory silica assay left in the features while predicting silica; duplicated 20-second records spanning the split; and a well or hole identifier that encodes the lithology.</t>
        </is>
      </c>
      <c r="O14" s="13"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13" t="inlineStr">
        <is>
          <t>A9: Trust Lab notebook plus a 'conditions of use' paragraph for the team's project model.</t>
        </is>
      </c>
      <c r="Q14" s="13"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13" t="inlineStr">
        <is>
          <t>PROJECT MILESTONE 1 (graded milestone): problem statement, dataset with licence, named target, and a baseline notebook. Each member's contribution log must be present in the repository.</t>
        </is>
      </c>
      <c r="S14" s="13" t="inlineStr">
        <is>
          <t>A9 contributes to Practical Challenges (10%). PM1 is a graded milestone within the Engineering ML Project (25%). Validation carries 15 of the 100 marks in the project rubric, and leakage control carries 20 of the 100 marks in the Practical Test 2 rubric.</t>
        </is>
      </c>
      <c r="T14" s="13"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13" t="inlineStr">
        <is>
          <t>• Computers; the three challenge notebooks offline; projector.
• Printed PM1 checklist and contribution log template.
• Printed leakage taxonomy card (four kinds, one example each).
• Timer for the PM1 stand-ups.</t>
        </is>
      </c>
      <c r="V14" s="13" t="inlineStr">
        <is>
          <t>DIVERGENT: the planted leakage causes are dressed in mining and petroleum terms, and the temporal leakage case is emphasised because process data is a time series. SHARED: all validation content.</t>
        </is>
      </c>
    </row>
    <row r="15" ht="220" customHeight="1">
      <c r="A15" s="10" t="n">
        <v>11</v>
      </c>
      <c r="B15" s="11" t="inlineStr">
        <is>
          <t>Block 4 - Practical Machine Learning Judgement</t>
        </is>
      </c>
      <c r="C15" s="11" t="inlineStr">
        <is>
          <t>Mon 16 Nov 2026</t>
        </is>
      </c>
      <c r="D15" s="11" t="inlineStr">
        <is>
          <t>Fri 20 Nov 2026
08:00-11:00 · Room 105</t>
        </is>
      </c>
      <c r="E15" s="11" t="inlineStr">
        <is>
          <t>Cohort B</t>
        </is>
      </c>
      <c r="F15" s="11" t="inlineStr">
        <is>
          <t>CML3113</t>
        </is>
      </c>
      <c r="G15" s="11" t="inlineStr">
        <is>
          <t>Introduction to Machine Learning in Mining &amp; Petroleum Engineering</t>
        </is>
      </c>
      <c r="H15" s="11" t="inlineStr">
        <is>
          <t>Features: where engineering knowledge enters the model</t>
        </is>
      </c>
      <c r="I15" s="11"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11"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48-hour link and say so out loud.</t>
        </is>
      </c>
      <c r="K15" s="11"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11"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11"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B FRAMING: Domain features that should be engineered: reagent-to-feed ratio, air-to-pulp ratio, contained metal as grade times tonnage, specific energy as torque times rotation over penetration rate, cumulative operating hours since maintenance, rolling mean and standard deviation of a process variable, and log-transformed resistivity. The reagent-to-feed ratio is the demonstration feature - a ratio a metallurgist would reach for immediately and that the raw flows cannot express.</t>
        </is>
      </c>
      <c r="N15" s="11" t="inlineStr">
        <is>
          <t>Flotation subset and, for the petroleum stream, FORCE 2020 well logs.</t>
        </is>
      </c>
      <c r="O15" s="11" t="inlineStr">
        <is>
          <t>Domain Advantage - a controlled experiment run by the students on themselves, comparing raw data plus a better algorithm against domain knowledge plus a simple algorithm.</t>
        </is>
      </c>
      <c r="P15" s="11" t="inlineStr">
        <is>
          <t>A10: feature dictionary and ablation table for the team's project dataset.</t>
        </is>
      </c>
      <c r="Q15" s="11" t="inlineStr">
        <is>
          <t>QUIZ 10 - features
An ablation table read for which feature earned its place, a one-hot encoding on a high-cardinality column, and a scaler that made no difference to a tree.</t>
        </is>
      </c>
      <c r="R15" s="11" t="inlineStr">
        <is>
          <t>PROJECT MILESTONE 2 briefed this week and due at the start of Week 12 (graded milestone): cleaned dataset, feature dictionary, and a first properly evaluated model inside a Pipeline.</t>
        </is>
      </c>
      <c r="S15" s="11" t="inlineStr">
        <is>
          <t>A10 contributes to Practical Challenges (10%). PM2 is a graded milestone within the project (25%). Engineering reasoning carries 20 of the 100 project marks, and feature construction is where it is most visible.</t>
        </is>
      </c>
      <c r="T15" s="11"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11"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11" t="inlineStr">
        <is>
          <t>DIVERGENT: the feature set and the reference sheet of standard mining and petroleum relations. SHARED: all encoding, scaling, pipeline and ablation content.</t>
        </is>
      </c>
    </row>
    <row r="16" ht="220" customHeight="1">
      <c r="A16" s="12" t="n">
        <v>12</v>
      </c>
      <c r="B16" s="13" t="inlineStr">
        <is>
          <t>Block 4 - Practical Machine Learning Judgement</t>
        </is>
      </c>
      <c r="C16" s="13" t="inlineStr">
        <is>
          <t>Mon 23 Nov 2026</t>
        </is>
      </c>
      <c r="D16" s="13" t="inlineStr">
        <is>
          <t>Fri 27 Nov 2026
08:00-11:00 · Room 105</t>
        </is>
      </c>
      <c r="E16" s="13" t="inlineStr">
        <is>
          <t>Cohort B</t>
        </is>
      </c>
      <c r="F16" s="13" t="inlineStr">
        <is>
          <t>CML3113</t>
        </is>
      </c>
      <c r="G16" s="13" t="inlineStr">
        <is>
          <t>Introduction to Machine Learning in Mining &amp; Petroleum Engineering</t>
        </is>
      </c>
      <c r="H16" s="13" t="inlineStr">
        <is>
          <t>Model comparison and engineering judgement (low-guidance week)</t>
        </is>
      </c>
      <c r="I16" s="13"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13"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0:55-2:25  ENGINEERING AI CHALLENGE - Choose a Model and Defend It. Teams receive an unfamiliar dataset and a brief from a fictional client. They must run at least four candidate models under an identical protocol, tabulate the results, and produce a one-page recommendation. The lecturer circulates with the question bank and gives no answers for the full 90 minutes.
• 2:25-2:40  DEFENCE ROUND. Each team presents its recommendation to another team, whose job is to attack it. Two challenges must be raised and answered. The lecturer marks the quality of the challenges as well as the defences.
• 2:55-3:00  WEEKLY QUIZ. Five questions, five minutes, opened by QR on the projector. Two of the five are drawn from the Week 1-10 banks.
• 2:55-3:00  Project Milestone 3 briefing.
• LAST FIVE MINUTES — QUIZ 11 - model comparison (integrative). Open the Form, project the QR, give it exactly five minutes, close it, and show the cohort's score distribution before they leave. Worth 1%, best 10 of 12 count, no resits. If the network is down, convert it to a 48-hour link and say so out loud.</t>
        </is>
      </c>
      <c r="K16" s="13"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13"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13"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13" t="inlineStr">
        <is>
          <t>An unfamiliar mining or petroleum dataset with a client brief. Suggested: MetroPT-3 (UCI 791) as an equipment health analogue, or a held-back FORCE 2020 well set. The client brief should include a production or safety consequence so that recall matters more than accuracy.</t>
        </is>
      </c>
      <c r="O16" s="13" t="inlineStr">
        <is>
          <t>Choose a Model and Defend It, plus the adversarial Defence Round. This is the week that most directly rehearses professional engineering practice, and the least guided session before the test.</t>
        </is>
      </c>
      <c r="P16" s="13" t="inlineStr">
        <is>
          <t>A11 (graded in-session): the one-page recommendation. This is the last of the eleven practical challenges.</t>
        </is>
      </c>
      <c r="Q16" s="13"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13" t="inlineStr">
        <is>
          <t>PROJECT MILESTONE 3 briefed this week and due at the start of Week 13 (graded milestone): a model comparison table for the team's own project, with a justified selection.</t>
        </is>
      </c>
      <c r="S16" s="13" t="inlineStr">
        <is>
          <t>A11 contributes to Practical Challenges (10%) and is graded in-session. PM3 is a graded milestone within the project (25%). This session is the closest rehearsal for Practical Test 2.</t>
        </is>
      </c>
      <c r="T16" s="13"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90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13" t="inlineStr">
        <is>
          <t>• Computers; challenge dataset offline; printed client briefs.
• Printed question-bank cards and recommendation template.
• Room layout allowing team-to-team defence (movable seating strongly preferred).
• Timer and a visible protocol poster.</t>
        </is>
      </c>
      <c r="V16" s="13" t="inlineStr">
        <is>
          <t>DIVERGENT: challenge dataset and client brief. SHARED: protocol, defence round, criteria.</t>
        </is>
      </c>
    </row>
    <row r="17" ht="220" customHeight="1">
      <c r="A17" s="10" t="n">
        <v>13</v>
      </c>
      <c r="B17" s="11" t="inlineStr">
        <is>
          <t>Block 5 - Engineering Project</t>
        </is>
      </c>
      <c r="C17" s="11" t="inlineStr">
        <is>
          <t>Mon 30 Nov 2026</t>
        </is>
      </c>
      <c r="D17" s="11" t="inlineStr">
        <is>
          <t>Fri 04 Dec 2026
08:00-11:00 · Room 105</t>
        </is>
      </c>
      <c r="E17" s="11" t="inlineStr">
        <is>
          <t>Cohort B</t>
        </is>
      </c>
      <c r="F17" s="11" t="inlineStr">
        <is>
          <t>CML3113</t>
        </is>
      </c>
      <c r="G17" s="11" t="inlineStr">
        <is>
          <t>Introduction to Machine Learning in Mining &amp; Petroleum Engineering</t>
        </is>
      </c>
      <c r="H17" s="11" t="inlineStr">
        <is>
          <t>Project studio: reproducibility, communication and peer review</t>
        </is>
      </c>
      <c r="I17" s="11"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11"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1:00-2:25  STUDIO. Teams build. The lecturer runs timed clinic slots on a booked rotation (see preparation - this is the session that fails without a booking sheet). Teams not in a clinic slot work or peer-review.
• 2:25-2:40  PEER REVIEW ROUND. Each team reviews another team's repository against the project rubric and returns a written review naming two strengths and two specific fixes.
• 2:55-3:00  WEEKLY QUIZ, the last of the twelve. Five questions, five minutes; two are drawn from the earlier banks.
• 2:55-3:00  Practical Test 2 briefing: format, rules, offline mode, rubric restated.
• LAST FIVE MINUTES — QUIZ 12 - reproducibility (integrative). Open the Form, project the QR, give it exactly five minutes, close it, and show the cohort's score distribution before they leave. Worth 1%, best 10 of 12 count, no resits. If the network is down, convert it to a 48-hour link and say so out loud.</t>
        </is>
      </c>
      <c r="K17" s="11"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11"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11" t="inlineStr">
        <is>
          <t>Studio build plus the peer review round. Deliverable: a repository that passes restart-and-run-all, a complete README, requirements.txt, a contribution log, and a received peer review with a written response to it.</t>
        </is>
      </c>
      <c r="N17" s="11" t="inlineStr">
        <is>
          <t>The team's own project dataset.</t>
        </is>
      </c>
      <c r="O17" s="11" t="inlineStr">
        <is>
          <t>The peer review itself. Teams discover that reviewing is harder than building, and they find their own defects in someone else's repository.</t>
        </is>
      </c>
      <c r="P17" s="11" t="inlineStr">
        <is>
          <t>No new assignment - project work only, deliberately, so the week before the test carries no extra load.</t>
        </is>
      </c>
      <c r="Q17" s="11"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11" t="inlineStr">
        <is>
          <t>PROJECT MILESTONE 4: repository freeze candidate, restart-and-run-all passing, peer review received and responded to.</t>
        </is>
      </c>
      <c r="S17" s="11" t="inlineStr">
        <is>
          <t>PM4 feeds the Reproducibility and documentation (5%) and Communication (10%) criteria of the project rubric, and the whole session prepares the Week 15 demo. Practical Test 2 is briefed here.</t>
        </is>
      </c>
      <c r="T17" s="11" t="inlineStr">
        <is>
          <t>• BUILD THE CLINIC BOOKING SHEET. With ~22 teams in Cohort A, 100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11" t="inlineStr">
        <is>
          <t>• Computers; movable seating; printed clinic booking sheet and repository checklist.
• Printed peer review forms.
• Two assistants or floor helpers if the cohort exceeds 60 students.
• Practical Test 2 information sheet.</t>
        </is>
      </c>
      <c r="V17" s="11" t="inlineStr">
        <is>
          <t>FULLY SHARED. Prepare once.</t>
        </is>
      </c>
    </row>
    <row r="18" ht="220" customHeight="1">
      <c r="A18" s="17" t="n">
        <v>14</v>
      </c>
      <c r="B18" s="18" t="inlineStr">
        <is>
          <t>ASSESSMENT WEEK 2</t>
        </is>
      </c>
      <c r="C18" s="18" t="inlineStr">
        <is>
          <t>Mon 07 Dec 2026</t>
        </is>
      </c>
      <c r="D18" s="18" t="inlineStr">
        <is>
          <t>Fri 11 Dec 2026
08:00-11:00 · Room 105</t>
        </is>
      </c>
      <c r="E18" s="18" t="inlineStr">
        <is>
          <t>Cohort B</t>
        </is>
      </c>
      <c r="F18" s="18" t="inlineStr">
        <is>
          <t>CML3113</t>
        </is>
      </c>
      <c r="G18" s="18" t="inlineStr">
        <is>
          <t>Introduction to Machine Learning in Mining &amp; Petroleum Engineering</t>
        </is>
      </c>
      <c r="H18" s="18" t="inlineStr">
        <is>
          <t>PRACTICAL TEST 2 - End-to-End Engineering Machine Learning (individual, offline)</t>
        </is>
      </c>
      <c r="I18" s="18"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18"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no computer). Why this metric. Where could this pipeline leak. What would change your recommendation. Would you deploy this, and what would you require first.
• 2:40-3:00  Collection, structural check, dismissal. Week 15 demo running order confirmed.</t>
        </is>
      </c>
      <c r="K18" s="18" t="inlineStr">
        <is>
          <t>• No new concepts. Weeks 8-13 are examined: supervised learning, validation, leakage, features, model comparison and engineering interpretation.</t>
        </is>
      </c>
      <c r="L18" s="18"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18" t="inlineStr">
        <is>
          <t>The test is the practical. Duration 2h00 practical + 0h25 written. Three parallel dataset variants in a checkerboard seating pattern.</t>
        </is>
      </c>
      <c r="N18" s="18" t="inlineStr">
        <is>
          <t>UNSEEN test datasets, three matched variants from the mining or petroleum domain, each supporting at least two model families.</t>
        </is>
      </c>
      <c r="O18" s="18" t="inlineStr">
        <is>
          <t>The whole assessment. An unfamiliar dataset, no prescribed method, and a rubric that awards more marks for reasoning and interpretation than for the score achieved.</t>
        </is>
      </c>
      <c r="P18" s="18" t="inlineStr">
        <is>
          <t>None. Final project preparation only.</t>
        </is>
      </c>
      <c r="Q18" s="18" t="inlineStr">
        <is>
          <t>—</t>
        </is>
      </c>
      <c r="R18" s="18" t="inlineStr">
        <is>
          <t>Engineering ML Project: final build week outside class. Repository and two-page brief due at the Week 15 session.</t>
        </is>
      </c>
      <c r="S18" s="18" t="inlineStr">
        <is>
          <t>PRACTICAL TEST 2 = 20% of the Semester 1 mark. Individual. Rubric: task framing 10, data preparation and leakage control 20, modelling protocol 20, evaluation and metric justification 20, engineering interpretation and limits 20, code clarity 10.</t>
        </is>
      </c>
      <c r="T18" s="18"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and the individual viva question tally sheet.</t>
        </is>
      </c>
      <c r="U18" s="18" t="inlineStr">
        <is>
          <t>• Invigilated offline lab; confirmed machine count; spare machines; power contingency.
• USB or local drop folder collection.
• Printed task sheets per variant; printed Part B booklets.
• Second invigilator for any sitting above 40 students.
• Rubric published in Week 11.</t>
        </is>
      </c>
      <c r="V18" s="18" t="inlineStr">
        <is>
          <t>DIVERGENT: the three dataset variants and their mark schemes. SHARED: format, rules, duration, rubric.</t>
        </is>
      </c>
    </row>
    <row r="19" ht="220" customHeight="1">
      <c r="A19" s="15" t="n">
        <v>15</v>
      </c>
      <c r="B19" s="16" t="inlineStr">
        <is>
          <t>Block 5 - Engineering Project</t>
        </is>
      </c>
      <c r="C19" s="16" t="inlineStr">
        <is>
          <t>Mon 14 Dec 2026</t>
        </is>
      </c>
      <c r="D19" s="16" t="inlineStr">
        <is>
          <t>Fri 18 Dec 2026
08:00-11:00 · Room 105</t>
        </is>
      </c>
      <c r="E19" s="16" t="inlineStr">
        <is>
          <t>Cohort B</t>
        </is>
      </c>
      <c r="F19" s="16" t="inlineStr">
        <is>
          <t>CML3113</t>
        </is>
      </c>
      <c r="G19" s="16" t="inlineStr">
        <is>
          <t>Introduction to Machine Learning in Mining &amp; Petroleum Engineering</t>
        </is>
      </c>
      <c r="H19" s="16" t="inlineStr">
        <is>
          <t>Engineering ML Demo Day, individual viva and reflection</t>
        </is>
      </c>
      <c r="I19" s="16"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16" t="inlineStr">
        <is>
          <t>• 0:00-0:10  Running order, rules, and the marking process explained.
• 0:10-2:20  DEMO FAIR, two rounds. Teams present at stations (laptop plus a one-page poster) while the lecturer and invited staff circulate. Every team presents to at least four peer assessors. Format scales: large cohorts run the fair plus a shortlist of six plenary demos; cohorts of ten to twelve teams present in plenary throughout.
•    (inside the fair)  INDIVIDUAL VIVA SAMPLING. While the fair runs, every student is asked two questions from the viva bank about their own repository, recorded on a tally sheet. Ninety seconds each. This is the mechanism that makes a team mark individually accountable.
• 2:20-2:40  PLENARY: shortlisted demos and the award of recognition (Best Engineering Reasoning, Best Investigation, Most Honest Limitations - deliberately not 'Highest Accuracy').
• 2:40-2:55  Feedback synthesis: what the cohort achieved, measured against the Week 1 promise. Semester 2 preview.
• 2:55-3:00  Individual reflection submitted.</t>
        </is>
      </c>
      <c r="K19" s="16"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16" t="inlineStr">
        <is>
          <t>• Whatever the project required - the tool list is now the students' choice, which is itself the outcome being demonstrated.
• Optional and encouraged: a Streamlit interface, for teams who went beyond the brief.
• GitHub as the submission surface; the repository URL is the deliverable.</t>
        </is>
      </c>
      <c r="M19" s="16" t="inlineStr">
        <is>
          <t>The demonstration is the assessment. Deliverables due at the start of the session: repository URL, two-page engineering brief, one-page poster, AI-use declaration, individual contribution log, and a 500-word individual reflection.</t>
        </is>
      </c>
      <c r="N19" s="16" t="inlineStr">
        <is>
          <t>Team-selected. Example project titles for this cohort: Real-Time Concentrate Quality Predictor; Lithology Classifier from Well Logs; Mining Equipment Failure Risk Model; Rate-of-Penetration Optimiser; Ore/Waste Classifier with a stated cost of error; Production Decline Forecaster.</t>
        </is>
      </c>
      <c r="O19" s="16" t="inlineStr">
        <is>
          <t>The viva. Two unseen questions about their own work, answered on the spot, with no preparation and no tools.</t>
        </is>
      </c>
      <c r="P19" s="16" t="inlineStr">
        <is>
          <t>None. Semester 2 pre-reading and an optional holiday challenge are issued for students who want to keep going.</t>
        </is>
      </c>
      <c r="Q19" s="16" t="inlineStr">
        <is>
          <t>—</t>
        </is>
      </c>
      <c r="R19" s="16" t="inlineStr">
        <is>
          <t>ENGINEERING ML PROJECT FINAL SUBMISSION (25%). Demo, viva and reflection (10%).</t>
        </is>
      </c>
      <c r="S19" s="16" t="inlineStr">
        <is>
          <t>Engineering ML Project 25% - rubric: problem definition 15, data understanding 15, methodology 20, engineering reasoning 20, validation 15, communication 10, reproducibility and documentation 5. Demo, viva and individual reflection 10%. Peer assessment is advisory and moderated by the lecturer, never used raw.</t>
        </is>
      </c>
      <c r="T19" s="16" t="inlineStr">
        <is>
          <t>• Invite Faculty staff and, if possible, one external practising engineer as assessors - it raises the standard of every submission more than any amount of exhortation.
• Build the viva question bank (twenty questions keyed to the repository, not to the topic) and the tally sheet.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16" t="inlineStr">
        <is>
          <t>• Fair-capable room with power at the perimeter; poster stands or tape.
• Invited assessors and printed assessor packs with the rubric.
• Printed viva tally sheets and peer assessment forms.
• Certificates for the three recognitions.
• Camera to record demos for the programme's own portfolio, with student consent.</t>
        </is>
      </c>
      <c r="V19" s="16" t="inlineStr">
        <is>
          <t>DIVERGENT: project titles and invited assessors (invite a mining or petroleum engineer). SHARED: demo format, viva bank structure, rubric.</t>
        </is>
      </c>
    </row>
  </sheetData>
  <autoFilter ref="A4:V19"/>
  <mergeCells count="2">
    <mergeCell ref="A1:T1"/>
    <mergeCell ref="A2:T2"/>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V19"/>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27" customWidth="1" min="4" max="4"/>
    <col width="9" customWidth="1" min="5" max="5"/>
    <col width="12" customWidth="1" min="6" max="6"/>
    <col width="40" customWidth="1" min="7" max="7"/>
    <col width="34" customWidth="1" min="8" max="8"/>
    <col width="62" customWidth="1" min="9" max="9"/>
    <col width="78" customWidth="1" min="10" max="10"/>
    <col width="56" customWidth="1" min="11" max="11"/>
    <col width="50" customWidth="1" min="12" max="12"/>
    <col width="60" customWidth="1" min="13" max="13"/>
    <col width="60" customWidth="1" min="14" max="14"/>
    <col width="56" customWidth="1" min="15" max="15"/>
    <col width="44" customWidth="1" min="16" max="16"/>
    <col width="54" customWidth="1" min="17" max="17"/>
    <col width="40" customWidth="1" min="18" max="18"/>
    <col width="46" customWidth="1" min="19" max="19"/>
    <col width="70" customWidth="1" min="20" max="20"/>
    <col width="52" customWidth="1" min="21" max="21"/>
    <col width="46" customWidth="1" min="22" max="22"/>
  </cols>
  <sheetData>
    <row r="1" ht="26" customHeight="1">
      <c r="A1" s="1" t="inlineStr">
        <is>
          <t>Cohort C — Introduction to Machine Learning in Engineering</t>
        </is>
      </c>
    </row>
    <row r="2" ht="18" customHeight="1">
      <c r="A2" s="2" t="inlineStr">
        <is>
          <t>Communications + Electrical + Mechatronics + Robotics Engineering · ~50 students (est. 11 project teams of 4-5) · one 3-hour session per week · 45 contact hours · FRIDAY 11:00-14:00, Room 115</t>
        </is>
      </c>
    </row>
    <row r="4" ht="44" customHeight="1">
      <c r="A4" s="6" t="inlineStr">
        <is>
          <t>Week</t>
        </is>
      </c>
      <c r="B4" s="6" t="inlineStr">
        <is>
          <t>Block / Phase</t>
        </is>
      </c>
      <c r="C4" s="6" t="inlineStr">
        <is>
          <t>Week commencing</t>
        </is>
      </c>
      <c r="D4" s="6" t="inlineStr">
        <is>
          <t>Session date · time · room</t>
        </is>
      </c>
      <c r="E4" s="6" t="inlineStr">
        <is>
          <t>Cohort</t>
        </is>
      </c>
      <c r="F4" s="6" t="inlineStr">
        <is>
          <t>Course code</t>
        </is>
      </c>
      <c r="G4" s="6" t="inlineStr">
        <is>
          <t>Course title</t>
        </is>
      </c>
      <c r="H4" s="6" t="inlineStr">
        <is>
          <t>Topic</t>
        </is>
      </c>
      <c r="I4" s="6" t="inlineStr">
        <is>
          <t>Learning objectives (by the end of the session, students can…)</t>
        </is>
      </c>
      <c r="J4" s="6" t="inlineStr">
        <is>
          <t>3-hour session structure</t>
        </is>
      </c>
      <c r="K4" s="6" t="inlineStr">
        <is>
          <t>Concepts introduced</t>
        </is>
      </c>
      <c r="L4" s="6" t="inlineStr">
        <is>
          <t>Tools introduced</t>
        </is>
      </c>
      <c r="M4" s="6" t="inlineStr">
        <is>
          <t>Practical / lab</t>
        </is>
      </c>
      <c r="N4" s="6" t="inlineStr">
        <is>
          <t>Dataset(s)</t>
        </is>
      </c>
      <c r="O4" s="6" t="inlineStr">
        <is>
          <t>Interactive challenge</t>
        </is>
      </c>
      <c r="P4" s="6" t="inlineStr">
        <is>
          <t>Assignment (due next session)</t>
        </is>
      </c>
      <c r="Q4" s="6" t="inlineStr">
        <is>
          <t>Weekly quiz (QR, auto-graded)</t>
        </is>
      </c>
      <c r="R4" s="6" t="inlineStr">
        <is>
          <t>Project milestone</t>
        </is>
      </c>
      <c r="S4" s="6" t="inlineStr">
        <is>
          <t>Assessment relevance</t>
        </is>
      </c>
      <c r="T4" s="6" t="inlineStr">
        <is>
          <t>Lecturer preparation</t>
        </is>
      </c>
      <c r="U4" s="6" t="inlineStr">
        <is>
          <t>Required resources</t>
        </is>
      </c>
      <c r="V4" s="6" t="inlineStr">
        <is>
          <t>Shared vs cohort-specific</t>
        </is>
      </c>
    </row>
    <row r="5" ht="220" customHeight="1">
      <c r="A5" s="10" t="n">
        <v>1</v>
      </c>
      <c r="B5" s="11" t="inlineStr">
        <is>
          <t>Block 1 - Orientation &amp; Computational Thinking</t>
        </is>
      </c>
      <c r="C5" s="11" t="inlineStr">
        <is>
          <t>Mon 07 Sep 2026</t>
        </is>
      </c>
      <c r="D5" s="11" t="inlineStr">
        <is>
          <t>Fri 11 Sep 2026
11:00-14:00 · Room 115</t>
        </is>
      </c>
      <c r="E5" s="11" t="inlineStr">
        <is>
          <t>Cohort C</t>
        </is>
      </c>
      <c r="F5" s="11" t="inlineStr">
        <is>
          <t>CML3111</t>
        </is>
      </c>
      <c r="G5" s="11" t="inlineStr">
        <is>
          <t>Introduction to Machine Learning in Engineering</t>
        </is>
      </c>
      <c r="H5" s="11" t="inlineStr">
        <is>
          <t>The engineering problem that needs data</t>
        </is>
      </c>
      <c r="I5" s="11"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11"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48-hour link and say so out loud.</t>
        </is>
      </c>
      <c r="K5" s="11"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11"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11"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C FRAMING: Framing question for the cohort: 'This machine has four sensors on it. It failed last month. Could we have known?' Second framing question: 'Can we predict the plant's power output from ambient conditions alone?'</t>
        </is>
      </c>
      <c r="N5" s="11" t="inlineStr">
        <is>
          <t>Printed 12-row extract of AI4I 2020 Predictive Maintenance (UCI 601): air and process temperature, rotational speed, torque and tool wear -&gt; machine failure yes or no. Row 13's outcome is withheld. Alternative extract for the electrical stream: Combined Cycle Power Plant (UCI 294) - ambient conditions -&gt; power output.</t>
        </is>
      </c>
      <c r="O5" s="11" t="inlineStr">
        <is>
          <t>Problem Hunt (see structure). Deliberately unguided: no template, no worked example. The lecturer only asks questions.</t>
        </is>
      </c>
      <c r="P5" s="11" t="inlineStr">
        <is>
          <t>A1 (one page): 'Three problems, one dataset' - three candidate ML problems from their discipline, the data each would need, and where that data might come from. PLUS the environment install checklist to be completed before Week 2.</t>
        </is>
      </c>
      <c r="Q5" s="11"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11" t="inlineStr">
        <is>
          <t>Project teams formed and registered. Team charter signed (roles, contact, meeting slot, conflict rule).</t>
        </is>
      </c>
      <c r="S5" s="11" t="inlineStr">
        <is>
          <t>A1 contributes to Practical Challenges &amp; Assignments (10%). Marked pass / redo - the point is engagement, not polish.</t>
        </is>
      </c>
      <c r="T5" s="11"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C: Problem Hunt prompt cards for sensors, signals, energy systems, fault detection, predictive maintenance, communications, robotics and anomaly detection.</t>
        </is>
      </c>
      <c r="U5" s="11" t="inlineStr">
        <is>
          <t>• Projector, whiteboard, marker pens, flipchart or A3 sheets.
• Printed dataset extracts, printed install guide, printed course outline.
• Laptop-access survey (paper, for 100% return).
• No student computers required this week - by design.</t>
        </is>
      </c>
      <c r="V5" s="11" t="inlineStr">
        <is>
          <t>DIVERGENT: anchor dataset, framing questions, Problem Hunt prompts. SHARED: everything else.</t>
        </is>
      </c>
    </row>
    <row r="6" ht="220" customHeight="1">
      <c r="A6" s="12" t="n">
        <v>2</v>
      </c>
      <c r="B6" s="13" t="inlineStr">
        <is>
          <t>Block 1 - Orientation &amp; Computational Thinking</t>
        </is>
      </c>
      <c r="C6" s="13" t="inlineStr">
        <is>
          <t>Mon 14 Sep 2026</t>
        </is>
      </c>
      <c r="D6" s="13" t="inlineStr">
        <is>
          <t>Fri 18 Sep 2026
11:00-14:00 · Room 115</t>
        </is>
      </c>
      <c r="E6" s="13" t="inlineStr">
        <is>
          <t>Cohort C</t>
        </is>
      </c>
      <c r="F6" s="13" t="inlineStr">
        <is>
          <t>CML3111</t>
        </is>
      </c>
      <c r="G6" s="13" t="inlineStr">
        <is>
          <t>Introduction to Machine Learning in Engineering</t>
        </is>
      </c>
      <c r="H6" s="13" t="inlineStr">
        <is>
          <t>The development environment: where engineers actually write code</t>
        </is>
      </c>
      <c r="I6" s="13" t="inlineStr">
        <is>
          <t>• Install and verify Python and VS Code, or work confidently in the approved cloud fallback.
• Navigate the filesystem from a terminal and explain the working directory.
• Create and run both a .py script and a .ipynb notebook, and say when each is appropriate.
• Install a package and import it successfully.
• Create a repository, write a README, commit and push.
• Locate a dataset on Kaggle and read its description page.</t>
        </is>
      </c>
      <c r="J6" s="13" t="inlineStr">
        <is>
          <t>• 0:00-0:20  The tool map: seven tools, each introduced by the problem it solves (Where do I write code? Where do I experiment? Where do I get data? Where do I keep versions?). No tool is named before its problem.
• 0:20-1:00  Install and verification clinic, run as a relay: students who finish become 'floor helpers' with a badge. Lab machines and Google Colab are the two fallbacks so nobody spends the session watching a progress bar.
• 1:00-1:35  Terminal basics (pwd, ls, cd, mkdir) and the first script. Students write, save and run hello_engineering.py, then modify it to print a discipline-specific calculation.
• 1:35-2:15  First notebook: cells, markdown, execution order. The out-of-order-cell trap is demonstrated deliberately so students meet it here rather than in Week 14.
• 2:15-2:45  Git and GitHub: repo, README, first commit, push. Every student ends the session with a live URL.
• 2:45-3:00  CHALLENGE - Break and Fix, then assignment issued.
• LAST FIVE MINUTES — QUIZ 2 - notebooks and version control. Open the Form, project the QR, give it exactly five minutes, close it, and show the cohort's score distribution before they leave. Worth 1%, best 10 of 12 count, no resits. If the network is down, convert it to a 48-hour link and say so out loud.</t>
        </is>
      </c>
      <c r="K6" s="13" t="inlineStr">
        <is>
          <t>• Interpreter, script, package, package manager, virtual environment (light touch - one command, one explanation).
• Absolute vs relative path, working directory.
• Notebook kernel, cell execution order and hidden state.
• .py vs .ipynb: reproducible pipeline vs exploratory narrative.
• Repository, commit, push, README as the front door of a project.</t>
        </is>
      </c>
      <c r="L6" s="13" t="inlineStr">
        <is>
          <t>• Python 3.11+ and pip.
• VS Code with the Python and Jupyter extensions.
• Terminal / command line.
• Jupyter Notebook.
• Git and GitHub (repo, README, commit, push).
• Kaggle (navigation and dataset pages only).
• Google Colab - the declared fallback for students without a capable laptop.</t>
        </is>
      </c>
      <c r="M6" s="13" t="inlineStr">
        <is>
          <t>Lab 2 'Proof of life': verify the Python version, install pandas, import it, print its version, run one script and one notebook, and push all of it to a personal repository with a README that states the student's programme and one engineering problem they care about.</t>
        </is>
      </c>
      <c r="N6" s="13" t="inlineStr">
        <is>
          <t>None. A single small CSV is opened only to prove the environment works.</t>
        </is>
      </c>
      <c r="O6" s="13" t="inlineStr">
        <is>
          <t>Break and Fix. The lecturer distributes four pre-broken notebooks/environments - ModuleNotFoundError, wrong kernel selected, FileNotFoundError from a wrong relative path, and cells run out of order producing a wrong answer. Teams must diagnose and state the cause in one sentence each. This is the first lesson in reading errors instead of fearing them.</t>
        </is>
      </c>
      <c r="P6" s="13" t="inlineStr">
        <is>
          <t>A2 'Proof of Life' (brief written: setup/A2_assignment_brief.md): a repository containing the READY block from check_setup.py, the run notebook, their first script with one change they made and described, and a README. Due at the start of Week 3. Marked pass / merit / redo.</t>
        </is>
      </c>
      <c r="Q6" s="13" t="inlineStr">
        <is>
          <t>QUIZ 2 - notebooks and version control
Out-of-order execution diagnosed from a cell-numbering trace, what Restart and Run All proves, and reading one git status output. The interpretation question asks the student to read their own setup output, which is what gives you the readiness signal before Week 3 starts depending on it.</t>
        </is>
      </c>
      <c r="R6" s="13" t="inlineStr">
        <is>
          <t>Team repository created on GitHub with all members as collaborators.</t>
        </is>
      </c>
      <c r="S6" s="13" t="inlineStr">
        <is>
          <t>A2 contributes to Practical Challenges &amp; Assignments (10%). Also the gate for Week 3 - a student without a working environment cannot progress, so the clinic continues in office hours.</t>
        </is>
      </c>
      <c r="T6" s="13" t="inlineStr">
        <is>
          <t>• THIS WEEK HAS ITS OWN DOCUMENT. Use the Week 2 Lecturer Runsheet, which supersedes the timings in this row: it starts the file copying at 0:00 before any teaching, because distributing the bundle - not installing it - is the real bottleneck. The Student Setup Guide is issued in Week 1 and the tested scripts are in the setup/ folder.
• CRITICAL: pre-download offline installers (Python, VS Code, extensions, pandas/numpy/matplotlib/seaborn/scikit-learn wheels) onto USB drives and the local network share. 100 simultaneous downloads will not work. Use setup/build_offline_bundle.sh.
• CRITICAL: fix ONE Python minor version for the whole course and make the USB installer, build_offline_bundle.sh and check_setup.py all agree. Wheels are tied to the minor version, and a mismatch cannot be fixed during the session.
• Prepare the four broken notebooks for Break and Fix.
• Pre-provision lab machines and test them with a student account, not an admin account.
• Create Colab fallback links and confirm they open on the campus network.
• Recruit and brief 6-8 floor helpers (strongest students from the Week 1 survey).</t>
        </is>
      </c>
      <c r="U6" s="13" t="inlineStr">
        <is>
          <t>• Computer lab or BYOD with power sockets - confirm socket count against class size.
• USB drives with offline installers; local network share.
• Printed one-page command cheat sheet (works when the projector fails).
• Floor-helper badges.
• Contingency: if bandwidth collapses, the session runs entirely on lab machines plus the printed cheat sheet.</t>
        </is>
      </c>
      <c r="V6" s="13" t="inlineStr">
        <is>
          <t>Largely shared — check the Shared vs Divergent sheet.</t>
        </is>
      </c>
    </row>
    <row r="7" ht="220" customHeight="1">
      <c r="A7" s="10" t="n">
        <v>3</v>
      </c>
      <c r="B7" s="11" t="inlineStr">
        <is>
          <t>Block 1 - Orientation &amp; Computational Thinking</t>
        </is>
      </c>
      <c r="C7" s="11" t="inlineStr">
        <is>
          <t>Mon 21 Sep 2026</t>
        </is>
      </c>
      <c r="D7" s="11" t="inlineStr">
        <is>
          <t>Fri 25 Sep 2026
11:00-14:00 · Room 115</t>
        </is>
      </c>
      <c r="E7" s="11" t="inlineStr">
        <is>
          <t>Cohort C</t>
        </is>
      </c>
      <c r="F7" s="11" t="inlineStr">
        <is>
          <t>CML3111</t>
        </is>
      </c>
      <c r="G7" s="11" t="inlineStr">
        <is>
          <t>Introduction to Machine Learning in Engineering</t>
        </is>
      </c>
      <c r="H7" s="11" t="inlineStr">
        <is>
          <t>Python as an engineering calculator</t>
        </is>
      </c>
      <c r="I7" s="11"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11"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48-hour link and say so out loud.</t>
        </is>
      </c>
      <c r="K7" s="11"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11"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11"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C FRAMING: Formula set: Ohm's law and electrical power; three-phase real power with a power factor; motor torque and the conversion from revolutions per minute to radians per second; gear ratio and output speed; decibel conversion; RC time constant; and root-mean-square of a sampled signal.</t>
        </is>
      </c>
      <c r="N7" s="11" t="inlineStr">
        <is>
          <t>No dataset - formula-driven.</t>
        </is>
      </c>
      <c r="O7" s="11" t="inlineStr">
        <is>
          <t>Wrong Answer Hunt - six silently wrong functions. Chosen because 'it ran, therefore it is right' is the single most dangerous belief a beginner can form, and it is fatal later in model evaluation.</t>
        </is>
      </c>
      <c r="P7" s="11" t="inlineStr">
        <is>
          <t>A3: functions.py with five documented, tested functions and a short notebook demonstrating each, pushed to the repository.</t>
        </is>
      </c>
      <c r="Q7" s="11" t="inlineStr">
        <is>
          <t>QUIZ 3 - Python as an engineering calculator
A unit error that returns a plausible wrong number, a function that returns nothing because it prints instead, an if-chain whose branches are in the wrong order, and one traceback.</t>
        </is>
      </c>
      <c r="R7" s="11" t="inlineStr">
        <is>
          <t>Team repository has a working code file and a commit history with more than one contributor.</t>
        </is>
      </c>
      <c r="S7" s="11" t="inlineStr">
        <is>
          <t>A3 contributes to Practical Challenges &amp; Assignments (10%). Function-writing and traceback-reading are directly examined in Practical Test 1 (Week 7).</t>
        </is>
      </c>
      <c r="T7" s="11"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11" t="inlineStr">
        <is>
          <t>• Computers, projector, printed formula sheet for the cohort.
• Printed Python syntax cheat sheet (one page, both sides).
• Wrong Answer Hunt notebook distributed offline via USB or the network share.</t>
        </is>
      </c>
      <c r="V7" s="11" t="inlineStr">
        <is>
          <t>DIVERGENT: the six formulas and the Wrong Answer Hunt traps (degrees vs radians, RPM vs rad/s, power vs apparent power, dB vs linear). SHARED: all concepts and structure.</t>
        </is>
      </c>
    </row>
    <row r="8" ht="220" customHeight="1">
      <c r="A8" s="12" t="n">
        <v>4</v>
      </c>
      <c r="B8" s="13" t="inlineStr">
        <is>
          <t>Block 1 - Orientation &amp; Computational Thinking</t>
        </is>
      </c>
      <c r="C8" s="13" t="inlineStr">
        <is>
          <t>Mon 28 Sep 2026</t>
        </is>
      </c>
      <c r="D8" s="13" t="inlineStr">
        <is>
          <t>Fri 02 Oct 2026
11:00-14:00 · Room 115</t>
        </is>
      </c>
      <c r="E8" s="13" t="inlineStr">
        <is>
          <t>Cohort C</t>
        </is>
      </c>
      <c r="F8" s="13" t="inlineStr">
        <is>
          <t>CML3111</t>
        </is>
      </c>
      <c r="G8" s="13" t="inlineStr">
        <is>
          <t>Introduction to Machine Learning in Engineering</t>
        </is>
      </c>
      <c r="H8" s="13" t="inlineStr">
        <is>
          <t>Python for problem solving: collections, loops and files</t>
        </is>
      </c>
      <c r="I8" s="13"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13"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48-hour link and say so out loud.</t>
        </is>
      </c>
      <c r="K8" s="13"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13" t="inlineStr">
        <is>
          <t>• The csv module and open() - deliberately no pandas yet.
• The VS Code debugger on a loop, to watch an accumulator fill.
• Git: incremental commits during the build.</t>
        </is>
      </c>
      <c r="M8" s="13" t="inlineStr">
        <is>
          <t>Reading Report script (see structure). Core tier: handle a clean file. Stretch tier: survive a file containing blank lines, a stray text value in a numeric column and a duplicated header row - which is exactly what Week 6 formalises.</t>
        </is>
      </c>
      <c r="N8" s="13" t="inlineStr">
        <is>
          <t>COURSE-AUTHORED: 'motor_test_bench.csv' (~300 rows) - a fictional but realistic bench log with motor ID, supply voltage, current, RPM, winding temperature, vibration RMS and a pass/fail flag. Contains one genuine finding (one motor or one voltage condition with systematically higher temperature rise), two red herrings and realistic dirt.</t>
        </is>
      </c>
      <c r="O8" s="13"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13" t="inlineStr">
        <is>
          <t>A4: the Reading Report script plus 150 words on the most interesting thing they found in the Investigation Lab file and why an engineer should care.</t>
        </is>
      </c>
      <c r="Q8" s="13" t="inlineStr">
        <is>
          <t>QUIZ 4 - collections, loops and files
An accumulator reset inside the loop, a range off-by-one, a value read from a file as a string, and a skipped-row count that was never reported.</t>
        </is>
      </c>
      <c r="R8" s="13" t="inlineStr">
        <is>
          <t>Each team submits a one-paragraph statement of the kind of engineering problem it wants to work on for the semester (not yet a dataset).</t>
        </is>
      </c>
      <c r="S8" s="13" t="inlineStr">
        <is>
          <t>A4 contributes to Practical Challenges &amp; Assignments (10%). Investigation Lab 1 is the direct rehearsal for Practical Test 1 in Week 7 and establishes the no-spoon-feeding norm.</t>
        </is>
      </c>
      <c r="T8" s="13"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13" t="inlineStr">
        <is>
          <t>• Computers, the Investigation Lab data file distributed offline.
• Printed question-bank cards.
• Timer visible to the room - the pitch round must not overrun.
• Flipchart for the findings pitches.</t>
        </is>
      </c>
      <c r="V8" s="13" t="inlineStr">
        <is>
          <t>DIVERGENT: the Investigation Lab file and its planted story. SHARED: all Python content.</t>
        </is>
      </c>
    </row>
    <row r="9" ht="220" customHeight="1">
      <c r="A9" s="15" t="n">
        <v>5</v>
      </c>
      <c r="B9" s="16" t="inlineStr">
        <is>
          <t>Block 2 - Engineering Data</t>
        </is>
      </c>
      <c r="C9" s="16" t="inlineStr">
        <is>
          <t>Mon 05 Oct 2026</t>
        </is>
      </c>
      <c r="D9" s="16" t="inlineStr">
        <is>
          <t>Fri 09 Oct 2026
11:00-14:00 · Room 115</t>
        </is>
      </c>
      <c r="E9" s="16" t="inlineStr">
        <is>
          <t>Cohort C</t>
        </is>
      </c>
      <c r="F9" s="16" t="inlineStr">
        <is>
          <t>CML3111</t>
        </is>
      </c>
      <c r="G9" s="16" t="inlineStr">
        <is>
          <t>Introduction to Machine Learning in Engineering</t>
        </is>
      </c>
      <c r="H9" s="16" t="inlineStr">
        <is>
          <t>NumPy and pandas: the engineer's data table, and where data comes from</t>
        </is>
      </c>
      <c r="I9" s="16"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16"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48-hour link and say so out loud.</t>
        </is>
      </c>
      <c r="K9" s="16"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16" t="inlineStr">
        <is>
          <t>• NumPy.
• pandas.
• Kaggle (search, dataset cards, download, public notebooks as worked examples).
• UCI Machine Learning Repository and the ucimlrepo package.
• Jupyter as the primary surface from this week onward.</t>
        </is>
      </c>
      <c r="M9" s="16" t="inlineStr">
        <is>
          <t>Twelve Questions interrogation notebook on the anchor dataset (see structure). Core tier: answer all twelve. Stretch tier: add two questions of their own and answer them.
COHORT C FRAMING: The twelve questions include: how does power output vary with ambient temperature band; which variable is most strongly associated with output; what is the distribution of exhaust vacuum; do high-humidity hours behave differently; and for AI4I, what is the failure rate by product quality variant and by tool wear band.</t>
        </is>
      </c>
      <c r="N9" s="16" t="inlineStr">
        <is>
          <t>ANCHOR: Combined Cycle Power Plant (UCI 294, 9,568 rows, ambient temperature, pressure, humidity and exhaust vacuum -&gt; net hourly power output). SECONDARY: AI4I 2020 Predictive Maintenance (UCI 601, CC BY 4.0, 10,000 rows) for the sensor and maintenance framing.</t>
        </is>
      </c>
      <c r="O9" s="16" t="inlineStr">
        <is>
          <t>Ten Questions, No Help - a timed, unassisted interrogation of an unfamiliar dataset. Directly calibrates students against the Week 7 test format.</t>
        </is>
      </c>
      <c r="P9" s="16" t="inlineStr">
        <is>
          <t>A5: the Twelve Questions notebook, pushed with a README section describing the dataset's source and licence.</t>
        </is>
      </c>
      <c r="Q9" s="16" t="inlineStr">
        <is>
          <t>QUIZ 5 - pandas and judging a dataset
A mask confused with a filtered frame, a groupby result whose shape is misread, a dtype of 'object' on a numeric column, and one question on where a dataset came from.</t>
        </is>
      </c>
      <c r="R9" s="16" t="inlineStr">
        <is>
          <t>DATA ANALYSIS PROJECT launched. Each team selects a dataset from the approved list (or proposes one for approval), and registers the engineering question it will answer.</t>
        </is>
      </c>
      <c r="S9" s="16" t="inlineStr">
        <is>
          <t>A5 contributes to Practical Challenges &amp; Assignments (10%). The Data Analysis Project is 10% in its own right. pandas fluency is the core of Practical Test 1 (Week 7).</t>
        </is>
      </c>
      <c r="T9" s="16"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16"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16" t="inlineStr">
        <is>
          <t>DIVERGENT: anchor dataset and the twelve questions. SHARED: all pandas and NumPy content and the sourcing segment.</t>
        </is>
      </c>
    </row>
    <row r="10" ht="220" customHeight="1">
      <c r="A10" s="12" t="n">
        <v>6</v>
      </c>
      <c r="B10" s="13" t="inlineStr">
        <is>
          <t>Block 2 - Engineering Data</t>
        </is>
      </c>
      <c r="C10" s="13" t="inlineStr">
        <is>
          <t>Mon 12 Oct 2026</t>
        </is>
      </c>
      <c r="D10" s="13" t="inlineStr">
        <is>
          <t>Fri 16 Oct 2026
11:00-14:00 · Room 115</t>
        </is>
      </c>
      <c r="E10" s="13" t="inlineStr">
        <is>
          <t>Cohort C</t>
        </is>
      </c>
      <c r="F10" s="13" t="inlineStr">
        <is>
          <t>CML3111</t>
        </is>
      </c>
      <c r="G10" s="13" t="inlineStr">
        <is>
          <t>Introduction to Machine Learning in Engineering</t>
        </is>
      </c>
      <c r="H10" s="13" t="inlineStr">
        <is>
          <t>Dirty data, and seeing it: data quality through visualisation</t>
        </is>
      </c>
      <c r="I10" s="13"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13" t="inlineStr">
        <is>
          <t>• 0:00-0:30  Concept: real engineering data is broken, and the break is usually informative. Six defect classes are introduced with a physical story for each (a sensor that fails to zero, a technician who typed the units in, a duplicate export, a survey that was abandoned).
• 0:30-1:00  Demonstration: the same chart used twice - once to find a defect, once to report a finding. Missingness map, box plot for outliers, scatter for impossible relationships, correlation heatmap for redundancy.
• 1:00-2:10  PRACTICAL - Data Clinic. Students receive a deliberately damaged version of a familiar dataset and must find every defect, decide on and implement a handling strategy, and write one justifying sentence per decision. Marks are for the justification, not the fix.
• 2:10-2:45  CHALLENGE - The Outlier Argument. Teams get five flagged extreme values and must argue for each: measurement error to be removed, or real behaviour to be kept? They must commit and defend. There is no single right answer for two of the five, which is the point.
• 2:45-3:00  Data Analysis Project progress check and the 'every graph answers a question' rule restated as a marking criterion.
• LAST FIVE MINUTES — QUIZ 6 - dirty data, and seeing it. Open the Form, project the QR, give it exactly five minutes, close it, and show the cohort's score distribution before they leave. Worth 1%, best 10 of 12 count, no resits. If the network is down, convert it to a 48-hour link and say so out loud.</t>
        </is>
      </c>
      <c r="K10" s="13"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13"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13"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C FRAMING: Outlier Argument cases from electrical and mechatronic reality: a current spike at motor start-up, a winding temperature of 200 degrees, a vibration reading of exactly zero for six hours, a negative power reading, and an RPM value of 30,000.</t>
        </is>
      </c>
      <c r="N10" s="13" t="inlineStr">
        <is>
          <t>COURSE-AUTHORED damaged variant of the Combined Cycle or AI4I dataset, plus a fictional 'sensor_stream.csv' with sensor dropouts coded as zero, stuck-at values, a timestamp gap, duplicated logger exports, and two genuinely arguable extremes (a real transient during a start-up and a suspected sensor fault).</t>
        </is>
      </c>
      <c r="O10" s="13" t="inlineStr">
        <is>
          <t>The Outlier Argument - forces a judgement call with no lookup answer, and rewards domain reasoning over technique.</t>
        </is>
      </c>
      <c r="P10" s="13" t="inlineStr">
        <is>
          <t>A6: cleaning notebook, defect register, and data quality statement for the team's Data Analysis Project dataset.</t>
        </is>
      </c>
      <c r="Q10" s="13" t="inlineStr">
        <is>
          <t>QUIZ 6 - dirty data, and seeing it
A zero-coded missing value, a chart that does not answer the stated question, and an extreme value that has to be judged as an error or a real measurement.</t>
        </is>
      </c>
      <c r="R10" s="13" t="inlineStr">
        <is>
          <t>Data Analysis Project: cleaned dataset and at least four question-driven charts committed to the repository.</t>
        </is>
      </c>
      <c r="S10" s="13" t="inlineStr">
        <is>
          <t>A6 contributes to Practical Challenges &amp; Assignments (10%). Cleaning judgement and chart quality are 40% of the Practical Test 1 rubric.</t>
        </is>
      </c>
      <c r="T10" s="13"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13" t="inlineStr">
        <is>
          <t>• Computers; the damaged dataset offline; seaborn/matplotlib cheat sheet.
• Printed defect register template.
• Practical Test 1 information sheet and rubric for distribution.
• Colour printing or a good projector for the chart-quality comparison.</t>
        </is>
      </c>
      <c r="V10" s="13" t="inlineStr">
        <is>
          <t>DIVERGENT: the damaged dataset and the five outlier cases. The 'stuck-at-zero sensor' case is emphasised for this cohort because it is the defect they will meet most often in practice. SHARED: all cleaning and visualisation content.</t>
        </is>
      </c>
    </row>
    <row r="11" ht="220" customHeight="1">
      <c r="A11" s="17" t="n">
        <v>7</v>
      </c>
      <c r="B11" s="18" t="inlineStr">
        <is>
          <t>ASSESSMENT WEEK 1</t>
        </is>
      </c>
      <c r="C11" s="18" t="inlineStr">
        <is>
          <t>Mon 19 Oct 2026</t>
        </is>
      </c>
      <c r="D11" s="18" t="inlineStr">
        <is>
          <t>Fri 23 Oct 2026
11:00-14:00 · Room 115</t>
        </is>
      </c>
      <c r="E11" s="18" t="inlineStr">
        <is>
          <t>Cohort C</t>
        </is>
      </c>
      <c r="F11" s="18" t="inlineStr">
        <is>
          <t>CML3111</t>
        </is>
      </c>
      <c r="G11" s="18" t="inlineStr">
        <is>
          <t>Introduction to Machine Learning in Engineering</t>
        </is>
      </c>
      <c r="H11" s="18" t="inlineStr">
        <is>
          <t>PRACTICAL TEST 1 - Data Investigation (individual, offline)</t>
        </is>
      </c>
      <c r="I11" s="18"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writing, without tools.</t>
        </is>
      </c>
      <c r="J11" s="18"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no computer). Four short questions on their own submission: why that cleaning decision, what the chart does not show, what would change the conclusion, and what data is missing.
• 2:40-3:00  Collection, checksum of submissions, immediate structural check, dismissal.</t>
        </is>
      </c>
      <c r="K11" s="18" t="inlineStr">
        <is>
          <t>• No new concepts. Weeks 1-6 are examined: pandas, cleaning judgement, visualisation, engineering interpretation.
• Examined implicitly: the ability to proceed without instructions.</t>
        </is>
      </c>
      <c r="L11" s="18" t="inlineStr">
        <is>
          <t>• Permitted: Python, VS Code or Jupyter, pandas, NumPy, matplotlib, seaborn, and an OFFLINE documentation bundle.
• Prohibited: internet access, AI assistants, messaging, shared drives. The room runs offline - this is enforceable, which is why the test is designed this way.
• Rationale published to students in Week 6: AI is permitted and encouraged in projects, where the work is explained and defended; it is excluded from the two tests, which certify unaided capability.</t>
        </is>
      </c>
      <c r="M11" s="18" t="inlineStr">
        <is>
          <t>The test is the practical. Duration 2h00 practical + 0h25 written. Three parallel dataset variants are issued in a checkerboard seating pattern to remove any benefit from collusion.</t>
        </is>
      </c>
      <c r="N11" s="18" t="inlineStr">
        <is>
          <t>UNSEEN test datasets, three matched variants from sensor, electrical or machine data. Suggested: a held-back slice of Combined Cycle Power Plant, Steel Plates Faults (UCI 198, CC BY 4.0, 27 features, 7 fault classes), and a course-authored sensor log. Variants matched for row count, defect count and difficulty.</t>
        </is>
      </c>
      <c r="O11" s="18" t="inlineStr">
        <is>
          <t>The entire assessment is the challenge: an unfamiliar dataset, no prescribed method, and marks awarded for reasoning as much as for result.</t>
        </is>
      </c>
      <c r="P11" s="18" t="inlineStr">
        <is>
          <t>None issued. Week 8 pre-reading only (a two-page primer on the idea of fitting a line), so the test week carries no homework load.</t>
        </is>
      </c>
      <c r="Q11" s="18" t="inlineStr">
        <is>
          <t>—</t>
        </is>
      </c>
      <c r="R11" s="18" t="inlineStr">
        <is>
          <t>Data Analysis Project continues outside class; due Week 8.</t>
        </is>
      </c>
      <c r="S11" s="18" t="inlineStr">
        <is>
          <t>PRACTICAL TEST 1 = 15% of the Semester 1 mark. Individual. Rubric: profiling 15, cleaning decisions and justification 20, visualisation 20, findings correctness 20, engineering interpretation 15, notebook clarity and reproducibility 10.</t>
        </is>
      </c>
      <c r="T11" s="18"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18" t="inlineStr">
        <is>
          <t>• Invigilated lab, offline. Confirmed machine count. Spare machines and a power contingency.
• USB drives or a local drop folder for collection.
• Printed task sheets (one per variant) and printed answer booklets for Part B.
• Second invigilator for any sitting above 40 students.
• Published rubric (issued Week 6).</t>
        </is>
      </c>
      <c r="V11" s="18" t="inlineStr">
        <is>
          <t>DIVERGENT: the three dataset variants and their mark schemes. SHARED: format, rules, duration, rubric, offline bundle.</t>
        </is>
      </c>
    </row>
    <row r="12" ht="220" customHeight="1">
      <c r="A12" s="12" t="n">
        <v>8</v>
      </c>
      <c r="B12" s="13" t="inlineStr">
        <is>
          <t>Block 3 - The Machine Learning Core</t>
        </is>
      </c>
      <c r="C12" s="13" t="inlineStr">
        <is>
          <t>Mon 26 Oct 2026</t>
        </is>
      </c>
      <c r="D12" s="13" t="inlineStr">
        <is>
          <t>Fri 30 Oct 2026
11:00-14:00 · Room 115</t>
        </is>
      </c>
      <c r="E12" s="13" t="inlineStr">
        <is>
          <t>Cohort C</t>
        </is>
      </c>
      <c r="F12" s="13" t="inlineStr">
        <is>
          <t>CML3111</t>
        </is>
      </c>
      <c r="G12" s="13" t="inlineStr">
        <is>
          <t>Introduction to Machine Learning in Engineering</t>
        </is>
      </c>
      <c r="H12" s="13" t="inlineStr">
        <is>
          <t>Learning from data: the first model</t>
        </is>
      </c>
      <c r="I12" s="13"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13"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48-hour link and say so out loud.</t>
        </is>
      </c>
      <c r="K12" s="13"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13"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13" t="inlineStr">
        <is>
          <t>First Model notebook (see structure). Core tier: a working, evaluated regression with the error stated in physical units. Stretch tier: a residual plot with a written interpretation of where the model is worst and a hypothesis as to why.
COHORT C FRAMING: The error must be reported as 'plus or minus X MW', and the class must answer: is that accurate enough to schedule generation or to trade on? Published benchmarks reach roughly 3 MW RMSE, which gives the class an honest external yardstick to compare themselves against.</t>
        </is>
      </c>
      <c r="N12" s="13" t="inlineStr">
        <is>
          <t>Combined Cycle Power Plant (UCI 294) predicting net hourly electrical power output in megawatts - a regression with a directly meaningful engineering error unit.</t>
        </is>
      </c>
      <c r="O12" s="13" t="inlineStr">
        <is>
          <t>Beat the Baseline. The baseline is the pedagogical device: it makes 'R-squared = 0.62' mean something, and it makes an unimpressive model an interesting result rather than a failure.</t>
        </is>
      </c>
      <c r="P12" s="13" t="inlineStr">
        <is>
          <t>A7: regression notebook including the baseline comparison, the error in physical units, and three sentences on whether an engineer should act on this model.</t>
        </is>
      </c>
      <c r="Q12" s="13" t="inlineStr">
        <is>
          <t>QUIZ 7 - the first model
A score quoted on the training rows, a residual plot read the wrong way round, MAE against RMSE on the same data, and a baseline nobody computed.</t>
        </is>
      </c>
      <c r="R12" s="13" t="inlineStr">
        <is>
          <t>DATA ANALYSIS PROJECT DUE (10%). Engineering ML Project brief previewed; teams begin scoping.</t>
        </is>
      </c>
      <c r="S12" s="13" t="inlineStr">
        <is>
          <t>A7 contributes to Practical Challenges (10%). Data Analysis Project is submitted and marked (10%). Regression, metrics and train/test are core to Practical Test 2 (Week 14).</t>
        </is>
      </c>
      <c r="T12" s="13"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13" t="inlineStr">
        <is>
          <t>• Computers; anchor dataset offline; projector.
• Leaderboard display.
• Printed sklearn API card (fit / predict / score / metrics).
• Marked or triaged Test 1 scripts for the debrief.</t>
        </is>
      </c>
      <c r="V12" s="13" t="inlineStr">
        <is>
          <t>DIVERGENT: dataset, target, physical error unit, and the availability of a published benchmark. SHARED: all regression and metric content.</t>
        </is>
      </c>
    </row>
    <row r="13" ht="220" customHeight="1">
      <c r="A13" s="10" t="n">
        <v>9</v>
      </c>
      <c r="B13" s="11" t="inlineStr">
        <is>
          <t>Block 3 - The Machine Learning Core</t>
        </is>
      </c>
      <c r="C13" s="11" t="inlineStr">
        <is>
          <t>Mon 02 Nov 2026</t>
        </is>
      </c>
      <c r="D13" s="11" t="inlineStr">
        <is>
          <t>Fri 06 Nov 2026
11:00-14:00 · Room 115</t>
        </is>
      </c>
      <c r="E13" s="11" t="inlineStr">
        <is>
          <t>Cohort C</t>
        </is>
      </c>
      <c r="F13" s="11" t="inlineStr">
        <is>
          <t>CML3111</t>
        </is>
      </c>
      <c r="G13" s="11" t="inlineStr">
        <is>
          <t>Introduction to Machine Learning in Engineering</t>
        </is>
      </c>
      <c r="H13" s="11" t="inlineStr">
        <is>
          <t>Classification: predicting which category a case belongs to</t>
        </is>
      </c>
      <c r="I13" s="11"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11"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48-hour link and say so out loud.</t>
        </is>
      </c>
      <c r="K13" s="11"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11" t="inlineStr">
        <is>
          <t>• scikit-learn: LogisticRegression, DecisionTreeClassifier, RandomForestClassifier, confusion_matrix, ConfusionMatrixDisplay, classification_report, plot_tree.
• seaborn for the confusion matrix heatmap.
• pandas for the cost table.</t>
        </is>
      </c>
      <c r="M13" s="11"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C FRAMING: Cost table categories: cost of a false alarm that stops a line, cost of a missed failure including damage and downtime, cost of an unnecessary maintenance callout, and the safety consequence of an undetected fault. The asymmetry is stark here, which makes recall the obvious answer - and then the class must confront how many false alarms operators will actually tolerate before they disable the alarm.</t>
        </is>
      </c>
      <c r="N13" s="11" t="inlineStr">
        <is>
          <t>Primary: AI4I 2020 Predictive Maintenance (UCI 601) - machine failure, 3.4% positive rate, which is the natural home of The 97% Trap. Secondary: Steel Plates Faults (UCI 198) for a genuine multi-class problem with seven fault types.</t>
        </is>
      </c>
      <c r="O13" s="11" t="inlineStr">
        <is>
          <t>The 97% Trap. Deliberately adversarial. It inoculates students against the single most common failure in applied ML, and it is a low-guidance session by design.</t>
        </is>
      </c>
      <c r="P13" s="11" t="inlineStr">
        <is>
          <t>A8: classification notebook with the cost table and the metric recommendation.</t>
        </is>
      </c>
      <c r="Q13" s="11" t="inlineStr">
        <is>
          <t>QUIZ 8 - classification
A confusion matrix read for what the model does badly, an accuracy figure quoted without the class balance, and a threshold moved with its effect on each cell.</t>
        </is>
      </c>
      <c r="R13" s="11" t="inlineStr">
        <is>
          <t>ENGINEERING ML PROJECT launched (25%, runs to Week 15). Teams must register a problem statement, a candidate dataset and a named target variable by Week 10.</t>
        </is>
      </c>
      <c r="S13" s="11" t="inlineStr">
        <is>
          <t>A8 contributes to Practical Challenges (10%). The Engineering ML Project brief and rubric are now live. Classification and metric choice are examined in Practical Test 2.</t>
        </is>
      </c>
      <c r="T13" s="11"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11"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11" t="inlineStr">
        <is>
          <t>DIVERGENT: dataset, class definitions and cost categories. SHARED: all classification content and the 97% Trap design.</t>
        </is>
      </c>
    </row>
    <row r="14" ht="220" customHeight="1">
      <c r="A14" s="12" t="n">
        <v>10</v>
      </c>
      <c r="B14" s="13" t="inlineStr">
        <is>
          <t>Block 3 - The Machine Learning Core</t>
        </is>
      </c>
      <c r="C14" s="13" t="inlineStr">
        <is>
          <t>Mon 09 Nov 2026</t>
        </is>
      </c>
      <c r="D14" s="13" t="inlineStr">
        <is>
          <t>Fri 13 Nov 2026
11:00-14:00 · Room 115</t>
        </is>
      </c>
      <c r="E14" s="13" t="inlineStr">
        <is>
          <t>Cohort C</t>
        </is>
      </c>
      <c r="F14" s="13" t="inlineStr">
        <is>
          <t>CML3111</t>
        </is>
      </c>
      <c r="G14" s="13" t="inlineStr">
        <is>
          <t>Introduction to Machine Learning in Engineering</t>
        </is>
      </c>
      <c r="H14" s="13" t="inlineStr">
        <is>
          <t>Can I trust this model?</t>
        </is>
      </c>
      <c r="I14" s="13"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13"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48-hour link and say so out loud.</t>
        </is>
      </c>
      <c r="K14" s="13"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13"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13"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13" t="inlineStr">
        <is>
          <t>The team's own project dataset, plus three course-authored 'Too Good To Be True' notebooks. Planted causes for this cohort: a maintenance-action column left in the features while predicting failure; duplicated logger rows spanning the split; and a machine identifier that encodes which units were already known to be failing.</t>
        </is>
      </c>
      <c r="O14" s="13"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13" t="inlineStr">
        <is>
          <t>A9: Trust Lab notebook plus a 'conditions of use' paragraph for the team's project model.</t>
        </is>
      </c>
      <c r="Q14" s="13"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13" t="inlineStr">
        <is>
          <t>PROJECT MILESTONE 1 (graded milestone): problem statement, dataset with licence, named target, and a baseline notebook. Each member's contribution log must be present in the repository.</t>
        </is>
      </c>
      <c r="S14" s="13" t="inlineStr">
        <is>
          <t>A9 contributes to Practical Challenges (10%). PM1 is a graded milestone within the Engineering ML Project (25%). Validation carries 15 of the 100 marks in the project rubric, and leakage control carries 20 of the 100 marks in the Practical Test 2 rubric.</t>
        </is>
      </c>
      <c r="T14" s="13"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13" t="inlineStr">
        <is>
          <t>• Computers; the three challenge notebooks offline; projector.
• Printed PM1 checklist and contribution log template.
• Printed leakage taxonomy card (four kinds, one example each).
• Timer for the PM1 stand-ups.</t>
        </is>
      </c>
      <c r="V14" s="13" t="inlineStr">
        <is>
          <t>DIVERGENT: the planted leakage causes are dressed in sensor and maintenance terms, and temporal leakage is emphasised because sensor data is a time series. SHARED: all validation content.</t>
        </is>
      </c>
    </row>
    <row r="15" ht="220" customHeight="1">
      <c r="A15" s="10" t="n">
        <v>11</v>
      </c>
      <c r="B15" s="11" t="inlineStr">
        <is>
          <t>Block 4 - Practical Machine Learning Judgement</t>
        </is>
      </c>
      <c r="C15" s="11" t="inlineStr">
        <is>
          <t>Mon 16 Nov 2026</t>
        </is>
      </c>
      <c r="D15" s="11" t="inlineStr">
        <is>
          <t>Fri 20 Nov 2026
11:00-14:00 · Room 115</t>
        </is>
      </c>
      <c r="E15" s="11" t="inlineStr">
        <is>
          <t>Cohort C</t>
        </is>
      </c>
      <c r="F15" s="11" t="inlineStr">
        <is>
          <t>CML3111</t>
        </is>
      </c>
      <c r="G15" s="11" t="inlineStr">
        <is>
          <t>Introduction to Machine Learning in Engineering</t>
        </is>
      </c>
      <c r="H15" s="11" t="inlineStr">
        <is>
          <t>Features: where engineering knowledge enters the model</t>
        </is>
      </c>
      <c r="I15" s="11"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11"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48-hour link and say so out loud.</t>
        </is>
      </c>
      <c r="K15" s="11"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11"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11"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C FRAMING: Domain features that should be engineered: electrical power as voltage times current, temperature rise above ambient, mechanical power as torque times angular velocity, current imbalance across phases, peak-to-RMS ratio of a vibration signal, rolling mean and standard deviation over a sensor window, and cumulative tool wear or operating hours. Mechanical power from torque and speed is the demonstration feature - two raw columns that a physical relationship turns into the single most informative variable in the dataset.</t>
        </is>
      </c>
      <c r="N15" s="11" t="inlineStr">
        <is>
          <t>AI4I 2020 (UCI 601) and Combined Cycle Power Plant (UCI 294).</t>
        </is>
      </c>
      <c r="O15" s="11" t="inlineStr">
        <is>
          <t>Domain Advantage - a controlled experiment run by the students on themselves, comparing raw data plus a better algorithm against domain knowledge plus a simple algorithm.</t>
        </is>
      </c>
      <c r="P15" s="11" t="inlineStr">
        <is>
          <t>A10: feature dictionary and ablation table for the team's project dataset.</t>
        </is>
      </c>
      <c r="Q15" s="11" t="inlineStr">
        <is>
          <t>QUIZ 10 - features
An ablation table read for which feature earned its place, a one-hot encoding on a high-cardinality column, and a scaler that made no difference to a tree.</t>
        </is>
      </c>
      <c r="R15" s="11" t="inlineStr">
        <is>
          <t>PROJECT MILESTONE 2 briefed this week and due at the start of Week 12 (graded milestone): cleaned dataset, feature dictionary, and a first properly evaluated model inside a Pipeline.</t>
        </is>
      </c>
      <c r="S15" s="11" t="inlineStr">
        <is>
          <t>A10 contributes to Practical Challenges (10%). PM2 is a graded milestone within the project (25%). Engineering reasoning carries 20 of the 100 project marks, and feature construction is where it is most visible.</t>
        </is>
      </c>
      <c r="T15" s="11"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11"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11" t="inlineStr">
        <is>
          <t>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220" customHeight="1">
      <c r="A16" s="12" t="n">
        <v>12</v>
      </c>
      <c r="B16" s="13" t="inlineStr">
        <is>
          <t>Block 4 - Practical Machine Learning Judgement</t>
        </is>
      </c>
      <c r="C16" s="13" t="inlineStr">
        <is>
          <t>Mon 23 Nov 2026</t>
        </is>
      </c>
      <c r="D16" s="13" t="inlineStr">
        <is>
          <t>Fri 27 Nov 2026
11:00-14:00 · Room 115</t>
        </is>
      </c>
      <c r="E16" s="13" t="inlineStr">
        <is>
          <t>Cohort C</t>
        </is>
      </c>
      <c r="F16" s="13" t="inlineStr">
        <is>
          <t>CML3111</t>
        </is>
      </c>
      <c r="G16" s="13" t="inlineStr">
        <is>
          <t>Introduction to Machine Learning in Engineering</t>
        </is>
      </c>
      <c r="H16" s="13" t="inlineStr">
        <is>
          <t>Model comparison and engineering judgement (low-guidance week)</t>
        </is>
      </c>
      <c r="I16" s="13"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13"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0:55-2:25  ENGINEERING AI CHALLENGE - Choose a Model and Defend It. Teams receive an unfamiliar dataset and a brief from a fictional client. They must run at least four candidate models under an identical protocol, tabulate the results, and produce a one-page recommendation. The lecturer circulates with the question bank and gives no answers for the full 90 minutes.
• 2:25-2:40  DEFENCE ROUND. Each team presents its recommendation to another team, whose job is to attack it. Two challenges must be raised and answered. The lecturer marks the quality of the challenges as well as the defences.
• 2:55-3:00  WEEKLY QUIZ. Five questions, five minutes, opened by QR on the projector. Two of the five are drawn from the Week 1-10 banks.
• 2:55-3:00  Project Milestone 3 briefing.
• LAST FIVE MINUTES — QUIZ 11 - model comparison (integrative). Open the Form, project the QR, give it exactly five minutes, close it, and show the cohort's score distribution before they leave. Worth 1%, best 10 of 12 count, no resits. If the network is down, convert it to a 48-hour link and say so out loud.</t>
        </is>
      </c>
      <c r="K16" s="13"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13"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13"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13" t="inlineStr">
        <is>
          <t>An unfamiliar sensor or electrical dataset with a client brief. Suggested: MetroPT-3 (UCI 791, real compressor sensor data with maintenance reports) or Steel Plates Faults (UCI 198). The client brief should state a false-alarm tolerance, which forces a precision-recall argument rather than an accuracy contest.</t>
        </is>
      </c>
      <c r="O16" s="13" t="inlineStr">
        <is>
          <t>Choose a Model and Defend It, plus the adversarial Defence Round. This is the week that most directly rehearses professional engineering practice, and the least guided session before the test.</t>
        </is>
      </c>
      <c r="P16" s="13" t="inlineStr">
        <is>
          <t>A11 (graded in-session): the one-page recommendation. This is the last of the eleven practical challenges.</t>
        </is>
      </c>
      <c r="Q16" s="13"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13" t="inlineStr">
        <is>
          <t>PROJECT MILESTONE 3 briefed this week and due at the start of Week 13 (graded milestone): a model comparison table for the team's own project, with a justified selection.</t>
        </is>
      </c>
      <c r="S16" s="13" t="inlineStr">
        <is>
          <t>A11 contributes to Practical Challenges (10%) and is graded in-session. PM3 is a graded milestone within the project (25%). This session is the closest rehearsal for Practical Test 2.</t>
        </is>
      </c>
      <c r="T16" s="13"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90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13" t="inlineStr">
        <is>
          <t>• Computers; challenge dataset offline; printed client briefs.
• Printed question-bank cards and recommendation template.
• Room layout allowing team-to-team defence (movable seating strongly preferred).
• Timer and a visible protocol poster.</t>
        </is>
      </c>
      <c r="V16" s="13" t="inlineStr">
        <is>
          <t>DIVERGENT: challenge dataset and client brief. SHARED: protocol, defence round, criteria.</t>
        </is>
      </c>
    </row>
    <row r="17" ht="220" customHeight="1">
      <c r="A17" s="10" t="n">
        <v>13</v>
      </c>
      <c r="B17" s="11" t="inlineStr">
        <is>
          <t>Block 5 - Engineering Project</t>
        </is>
      </c>
      <c r="C17" s="11" t="inlineStr">
        <is>
          <t>Mon 30 Nov 2026</t>
        </is>
      </c>
      <c r="D17" s="11" t="inlineStr">
        <is>
          <t>Fri 04 Dec 2026
11:00-14:00 · Room 115</t>
        </is>
      </c>
      <c r="E17" s="11" t="inlineStr">
        <is>
          <t>Cohort C</t>
        </is>
      </c>
      <c r="F17" s="11" t="inlineStr">
        <is>
          <t>CML3111</t>
        </is>
      </c>
      <c r="G17" s="11" t="inlineStr">
        <is>
          <t>Introduction to Machine Learning in Engineering</t>
        </is>
      </c>
      <c r="H17" s="11" t="inlineStr">
        <is>
          <t>Project studio: reproducibility, communication and peer review</t>
        </is>
      </c>
      <c r="I17" s="11"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11"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1:00-2:25  STUDIO. Teams build. The lecturer runs timed clinic slots on a booked rotation (see preparation - this is the session that fails without a booking sheet). Teams not in a clinic slot work or peer-review.
• 2:25-2:40  PEER REVIEW ROUND. Each team reviews another team's repository against the project rubric and returns a written review naming two strengths and two specific fixes.
• 2:55-3:00  WEEKLY QUIZ, the last of the twelve. Five questions, five minutes; two are drawn from the earlier banks.
• 2:55-3:00  Practical Test 2 briefing: format, rules, offline mode, rubric restated.
• LAST FIVE MINUTES — QUIZ 12 - reproducibility (integrative). Open the Form, project the QR, give it exactly five minutes, close it, and show the cohort's score distribution before they leave. Worth 1%, best 10 of 12 count, no resits. If the network is down, convert it to a 48-hour link and say so out loud.</t>
        </is>
      </c>
      <c r="K17" s="11"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11"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11" t="inlineStr">
        <is>
          <t>Studio build plus the peer review round. Deliverable: a repository that passes restart-and-run-all, a complete README, requirements.txt, a contribution log, and a received peer review with a written response to it.</t>
        </is>
      </c>
      <c r="N17" s="11" t="inlineStr">
        <is>
          <t>The team's own project dataset.</t>
        </is>
      </c>
      <c r="O17" s="11" t="inlineStr">
        <is>
          <t>The peer review itself. Teams discover that reviewing is harder than building, and they find their own defects in someone else's repository.</t>
        </is>
      </c>
      <c r="P17" s="11" t="inlineStr">
        <is>
          <t>No new assignment - project work only, deliberately, so the week before the test carries no extra load.</t>
        </is>
      </c>
      <c r="Q17" s="11"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11" t="inlineStr">
        <is>
          <t>PROJECT MILESTONE 4: repository freeze candidate, restart-and-run-all passing, peer review received and responded to.</t>
        </is>
      </c>
      <c r="S17" s="11" t="inlineStr">
        <is>
          <t>PM4 feeds the Reproducibility and documentation (5%) and Communication (10%) criteria of the project rubric, and the whole session prepares the Week 15 demo. Practical Test 2 is briefed here.</t>
        </is>
      </c>
      <c r="T17" s="11" t="inlineStr">
        <is>
          <t>• BUILD THE CLINIC BOOKING SHEET. With ~22 teams in Cohort A, 100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11" t="inlineStr">
        <is>
          <t>• Computers; movable seating; printed clinic booking sheet and repository checklist.
• Printed peer review forms.
• Two assistants or floor helpers if the cohort exceeds 60 students.
• Practical Test 2 information sheet.</t>
        </is>
      </c>
      <c r="V17" s="11" t="inlineStr">
        <is>
          <t>FULLY SHARED. Prepare once.</t>
        </is>
      </c>
    </row>
    <row r="18" ht="220" customHeight="1">
      <c r="A18" s="17" t="n">
        <v>14</v>
      </c>
      <c r="B18" s="18" t="inlineStr">
        <is>
          <t>ASSESSMENT WEEK 2</t>
        </is>
      </c>
      <c r="C18" s="18" t="inlineStr">
        <is>
          <t>Mon 07 Dec 2026</t>
        </is>
      </c>
      <c r="D18" s="18" t="inlineStr">
        <is>
          <t>Fri 11 Dec 2026
11:00-14:00 · Room 115</t>
        </is>
      </c>
      <c r="E18" s="18" t="inlineStr">
        <is>
          <t>Cohort C</t>
        </is>
      </c>
      <c r="F18" s="18" t="inlineStr">
        <is>
          <t>CML3111</t>
        </is>
      </c>
      <c r="G18" s="18" t="inlineStr">
        <is>
          <t>Introduction to Machine Learning in Engineering</t>
        </is>
      </c>
      <c r="H18" s="18" t="inlineStr">
        <is>
          <t>PRACTICAL TEST 2 - End-to-End Engineering Machine Learning (individual, offline)</t>
        </is>
      </c>
      <c r="I18" s="18"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18"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no computer). Why this metric. Where could this pipeline leak. What would change your recommendation. Would you deploy this, and what would you require first.
• 2:40-3:00  Collection, structural check, dismissal. Week 15 demo running order confirmed.</t>
        </is>
      </c>
      <c r="K18" s="18" t="inlineStr">
        <is>
          <t>• No new concepts. Weeks 8-13 are examined: supervised learning, validation, leakage, features, model comparison and engineering interpretation.</t>
        </is>
      </c>
      <c r="L18" s="18"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18" t="inlineStr">
        <is>
          <t>The test is the practical. Duration 2h00 practical + 0h25 written. Three parallel dataset variants in a checkerboard seating pattern.</t>
        </is>
      </c>
      <c r="N18" s="18" t="inlineStr">
        <is>
          <t>UNSEEN test datasets, three matched variants from the sensor, electrical or machine domain, each supporting at least two model families.</t>
        </is>
      </c>
      <c r="O18" s="18" t="inlineStr">
        <is>
          <t>The whole assessment. An unfamiliar dataset, no prescribed method, and a rubric that awards more marks for reasoning and interpretation than for the score achieved.</t>
        </is>
      </c>
      <c r="P18" s="18" t="inlineStr">
        <is>
          <t>None. Final project preparation only.</t>
        </is>
      </c>
      <c r="Q18" s="18" t="inlineStr">
        <is>
          <t>—</t>
        </is>
      </c>
      <c r="R18" s="18" t="inlineStr">
        <is>
          <t>Engineering ML Project: final build week outside class. Repository and two-page brief due at the Week 15 session.</t>
        </is>
      </c>
      <c r="S18" s="18" t="inlineStr">
        <is>
          <t>PRACTICAL TEST 2 = 20% of the Semester 1 mark. Individual. Rubric: task framing 10, data preparation and leakage control 20, modelling protocol 20, evaluation and metric justification 20, engineering interpretation and limits 20, code clarity 10.</t>
        </is>
      </c>
      <c r="T18" s="18"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and the individual viva question tally sheet.</t>
        </is>
      </c>
      <c r="U18" s="18" t="inlineStr">
        <is>
          <t>• Invigilated offline lab; confirmed machine count; spare machines; power contingency.
• USB or local drop folder collection.
• Printed task sheets per variant; printed Part B booklets.
• Second invigilator for any sitting above 40 students.
• Rubric published in Week 11.</t>
        </is>
      </c>
      <c r="V18" s="18" t="inlineStr">
        <is>
          <t>DIVERGENT: the three dataset variants and their mark schemes. SHARED: format, rules, duration, rubric.</t>
        </is>
      </c>
    </row>
    <row r="19" ht="220" customHeight="1">
      <c r="A19" s="15" t="n">
        <v>15</v>
      </c>
      <c r="B19" s="16" t="inlineStr">
        <is>
          <t>Block 5 - Engineering Project</t>
        </is>
      </c>
      <c r="C19" s="16" t="inlineStr">
        <is>
          <t>Mon 14 Dec 2026</t>
        </is>
      </c>
      <c r="D19" s="16" t="inlineStr">
        <is>
          <t>Fri 18 Dec 2026
11:00-14:00 · Room 115</t>
        </is>
      </c>
      <c r="E19" s="16" t="inlineStr">
        <is>
          <t>Cohort C</t>
        </is>
      </c>
      <c r="F19" s="16" t="inlineStr">
        <is>
          <t>CML3111</t>
        </is>
      </c>
      <c r="G19" s="16" t="inlineStr">
        <is>
          <t>Introduction to Machine Learning in Engineering</t>
        </is>
      </c>
      <c r="H19" s="16" t="inlineStr">
        <is>
          <t>Engineering ML Demo Day, individual viva and reflection</t>
        </is>
      </c>
      <c r="I19" s="16"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16" t="inlineStr">
        <is>
          <t>• 0:00-0:10  Running order, rules, and the marking process explained.
• 0:10-2:20  DEMO FAIR, two rounds. Teams present at stations (laptop plus a one-page poster) while the lecturer and invited staff circulate. Every team presents to at least four peer assessors. Format scales: large cohorts run the fair plus a shortlist of six plenary demos; cohorts of ten to twelve teams present in plenary throughout.
•    (inside the fair)  INDIVIDUAL VIVA SAMPLING. While the fair runs, every student is asked two questions from the viva bank about their own repository, recorded on a tally sheet. Ninety seconds each. This is the mechanism that makes a team mark individually accountable.
• 2:20-2:40  PLENARY: shortlisted demos and the award of recognition (Best Engineering Reasoning, Best Investigation, Most Honest Limitations - deliberately not 'Highest Accuracy').
• 2:40-2:55  Feedback synthesis: what the cohort achieved, measured against the Week 1 promise. Semester 2 preview.
• 2:55-3:00  Individual reflection submitted.</t>
        </is>
      </c>
      <c r="K19" s="16"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16" t="inlineStr">
        <is>
          <t>• Whatever the project required - the tool list is now the students' choice, which is itself the outcome being demonstrated.
• Optional and encouraged: a Streamlit interface, for teams who went beyond the brief.
• GitHub as the submission surface; the repository URL is the deliverable.</t>
        </is>
      </c>
      <c r="M19" s="16" t="inlineStr">
        <is>
          <t>The demonstration is the assessment. Deliverables due at the start of the session: repository URL, two-page engineering brief, one-page poster, AI-use declaration, individual contribution log, and a 500-word individual reflection.</t>
        </is>
      </c>
      <c r="N19" s="16" t="inlineStr">
        <is>
          <t>Team-selected. Example project titles for this cohort: Motor Anomaly Detector; Machine Failure Risk Model; Power Output Forecaster; Electrical Fault Classifier; Surface Defect Classifier; Sensor Health Monitor; Robot State Classifier.</t>
        </is>
      </c>
      <c r="O19" s="16" t="inlineStr">
        <is>
          <t>The viva. Two unseen questions about their own work, answered on the spot, with no preparation and no tools.</t>
        </is>
      </c>
      <c r="P19" s="16" t="inlineStr">
        <is>
          <t>None. Semester 2 pre-reading and an optional holiday challenge are issued for students who want to keep going.</t>
        </is>
      </c>
      <c r="Q19" s="16" t="inlineStr">
        <is>
          <t>—</t>
        </is>
      </c>
      <c r="R19" s="16" t="inlineStr">
        <is>
          <t>ENGINEERING ML PROJECT FINAL SUBMISSION (25%). Demo, viva and reflection (10%).</t>
        </is>
      </c>
      <c r="S19" s="16" t="inlineStr">
        <is>
          <t>Engineering ML Project 25% - rubric: problem definition 15, data understanding 15, methodology 20, engineering reasoning 20, validation 15, communication 10, reproducibility and documentation 5. Demo, viva and individual reflection 10%. Peer assessment is advisory and moderated by the lecturer, never used raw.</t>
        </is>
      </c>
      <c r="T19" s="16" t="inlineStr">
        <is>
          <t>• Invite Faculty staff and, if possible, one external practising engineer as assessors - it raises the standard of every submission more than any amount of exhortation.
• Build the viva question bank (twenty questions keyed to the repository, not to the topic) and the tally sheet.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16" t="inlineStr">
        <is>
          <t>• Fair-capable room with power at the perimeter; poster stands or tape.
• Invited assessors and printed assessor packs with the rubric.
• Printed viva tally sheets and peer assessment forms.
• Certificates for the three recognitions.
• Camera to record demos for the programme's own portfolio, with student consent.</t>
        </is>
      </c>
      <c r="V19" s="16" t="inlineStr">
        <is>
          <t>DIVERGENT: project titles and invited assessors (invite an electrical, control or automation engineer). SHARED: demo format, viva bank structure, rubric.</t>
        </is>
      </c>
    </row>
  </sheetData>
  <autoFilter ref="A4:V19"/>
  <mergeCells count="2">
    <mergeCell ref="A1:T1"/>
    <mergeCell ref="A2:T2"/>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F2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62" customWidth="1" min="3" max="3"/>
    <col width="62" customWidth="1" min="4" max="4"/>
    <col width="20" customWidth="1" min="5" max="5"/>
    <col width="74" customWidth="1" min="6" max="6"/>
  </cols>
  <sheetData>
    <row r="1" ht="26" customHeight="1">
      <c r="A1" s="1" t="inlineStr">
        <is>
          <t>Shared core versus cohort-specific overlay</t>
        </is>
      </c>
    </row>
    <row r="2" ht="18" customHeight="1">
      <c r="A2" s="2" t="inlineStr">
        <is>
          <t>Where one preparation serves three cohorts, and where three separate preparations are genuinely needed.</t>
        </is>
      </c>
    </row>
    <row r="4" ht="32" customHeight="1">
      <c r="A4" s="6" t="inlineStr">
        <is>
          <t>Week</t>
        </is>
      </c>
      <c r="B4" s="6" t="inlineStr">
        <is>
          <t>Topic</t>
        </is>
      </c>
      <c r="C4" s="6" t="inlineStr">
        <is>
          <t>Shared across all three cohorts (prepare once)</t>
        </is>
      </c>
      <c r="D4" s="6" t="inlineStr">
        <is>
          <t>Must be re-skinned per cohort (prepare three times)</t>
        </is>
      </c>
      <c r="E4" s="6" t="inlineStr">
        <is>
          <t>Approx. re-skin effort</t>
        </is>
      </c>
      <c r="F4" s="6" t="inlineStr">
        <is>
          <t>Cohort A / B / C divergence</t>
        </is>
      </c>
    </row>
    <row r="5" ht="96" customHeight="1">
      <c r="A5" s="10" t="n">
        <v>1</v>
      </c>
      <c r="B5" s="11" t="inlineStr">
        <is>
          <t>The engineering problem that needs data</t>
        </is>
      </c>
      <c r="C5" s="11" t="inlineStr">
        <is>
          <t>Course contract, the rules-vs-learning argument, the Problem Hunt design, the gallery walk, team formation, A1 brief.</t>
        </is>
      </c>
      <c r="D5" s="11" t="inlineStr">
        <is>
          <t>The 12-row printed dataset extract, the two framing questions, the Problem Hunt prompt cards.</t>
        </is>
      </c>
      <c r="E5" s="11" t="inlineStr">
        <is>
          <t>Low — 1 hour each</t>
        </is>
      </c>
      <c r="F5" s="11" t="inlineStr">
        <is>
          <t>[A] DIVERGENT: anchor dataset, framing questions, Problem Hunt prompts. SHARED: everything else.
[B] DIVERGENT: anchor dataset, framing questions, Problem Hunt prompts. SHARED: everything else.
[C] DIVERGENT: anchor dataset, framing questions, Problem Hunt prompts. SHARED: everything else.</t>
        </is>
      </c>
    </row>
    <row r="6" ht="96" customHeight="1">
      <c r="A6" s="12" t="n">
        <v>2</v>
      </c>
      <c r="B6" s="13" t="inlineStr">
        <is>
          <t>The development environment: where engineers actually write code</t>
        </is>
      </c>
      <c r="C6" s="13" t="inlineStr">
        <is>
          <t>Everything. The tool map, the install clinic, terminal, notebook, Git, Kaggle, Break and Fix.</t>
        </is>
      </c>
      <c r="D6" s="13" t="inlineStr">
        <is>
          <t>Nothing beyond the one-line README prompt naming their programme.</t>
        </is>
      </c>
      <c r="E6" s="13" t="inlineStr">
        <is>
          <t>None</t>
        </is>
      </c>
      <c r="F6" s="13" t="inlineStr">
        <is>
          <t>[A] Largely shared.
[B] Largely shared.
[C] Largely shared.</t>
        </is>
      </c>
    </row>
    <row r="7" ht="96" customHeight="1">
      <c r="A7" s="10" t="n">
        <v>3</v>
      </c>
      <c r="B7" s="11" t="inlineStr">
        <is>
          <t>Python as an engineering calculator</t>
        </is>
      </c>
      <c r="C7" s="11" t="inlineStr">
        <is>
          <t>All Python concepts, the function-library task design, the Wrong Answer Hunt format, the debugger demo.</t>
        </is>
      </c>
      <c r="D7" s="11" t="inlineStr">
        <is>
          <t>The six engineering formulas and the unit traps planted in the Wrong Answer Hunt.</t>
        </is>
      </c>
      <c r="E7" s="11" t="inlineStr">
        <is>
          <t>Medium — 2–3 hours each</t>
        </is>
      </c>
      <c r="F7" s="11" t="inlineStr">
        <is>
          <t>[A] DIVERGENT: the six formulas and the Wrong Answer Hunt unit traps (kN vs N, mm vs m, W/m2K). SHARED: all concepts, structure, challenge design.
[B] DIVERGENT: the six formulas and the Wrong Answer Hunt traps (grams per tonne vs percent, barrels vs cubic metres, wet vs dry tonnes). SHARED: all concepts and structure.
[C] DIVERGENT: the six formulas and the Wrong Answer Hunt traps (degrees vs radians, RPM vs rad/s, power vs apparent power, dB vs linear). SHARED: all concepts and structure.</t>
        </is>
      </c>
    </row>
    <row r="8" ht="96" customHeight="1">
      <c r="A8" s="12" t="n">
        <v>4</v>
      </c>
      <c r="B8" s="13" t="inlineStr">
        <is>
          <t>Python for problem solving: collections, loops and files</t>
        </is>
      </c>
      <c r="C8" s="13" t="inlineStr">
        <is>
          <t>All collections, loops, file I/O and exception content. The Reading Report task. The Investigation Lab format and question bank.</t>
        </is>
      </c>
      <c r="D8" s="13" t="inlineStr">
        <is>
          <t>The ~300-row Investigation Lab file, its planted finding and its red herrings.</t>
        </is>
      </c>
      <c r="E8" s="13" t="inlineStr">
        <is>
          <t>High — 3–4 hours each</t>
        </is>
      </c>
      <c r="F8" s="13" t="inlineStr">
        <is>
          <t>[A] DIVERGENT: the Investigation Lab file and its planted story. SHARED: all Python content.
[B] DIVERGENT: the Investigation Lab file and its planted story. SHARED: all Python content.
[C] DIVERGENT: the Investigation Lab file and its planted story. SHARED: all Python content.</t>
        </is>
      </c>
    </row>
    <row r="9" ht="96" customHeight="1">
      <c r="A9" s="10" t="n">
        <v>5</v>
      </c>
      <c r="B9" s="11" t="inlineStr">
        <is>
          <t>NumPy and pandas: the engineer's data table, and where data comes from</t>
        </is>
      </c>
      <c r="C9" s="11" t="inlineStr">
        <is>
          <t>All NumPy and pandas content. The loops-vs-pandas comparison. The Kaggle and UCI sourcing segment. The Ten Questions format.</t>
        </is>
      </c>
      <c r="D9" s="11" t="inlineStr">
        <is>
          <t>The anchor dataset, the twelve interrogation questions, and the dataset subsetting work (heavy for Cohort B).</t>
        </is>
      </c>
      <c r="E9" s="11" t="inlineStr">
        <is>
          <t>High — 4 hours each</t>
        </is>
      </c>
      <c r="F9" s="11" t="inlineStr">
        <is>
          <t>[A] DIVERGENT: anchor dataset and the twelve questions. SHARED: all pandas and NumPy content, the Kaggle/UCI sourcing segment, the challenge format.
[B] DIVERGENT: anchor dataset and the twelve questions. SHARED: all pandas and NumPy content and the sourcing segment.
[C] DIVERGENT: anchor dataset and the twelve questions. SHARED: all pandas and NumPy content and the sourcing segment.</t>
        </is>
      </c>
    </row>
    <row r="10" ht="96" customHeight="1">
      <c r="A10" s="12" t="n">
        <v>6</v>
      </c>
      <c r="B10" s="13" t="inlineStr">
        <is>
          <t>Dirty data, and seeing it: data quality through visualisation</t>
        </is>
      </c>
      <c r="C10" s="13" t="inlineStr">
        <is>
          <t>All cleaning and visualisation content. The Data Clinic design. The Outlier Argument format. Chart grammar.</t>
        </is>
      </c>
      <c r="D10" s="13" t="inlineStr">
        <is>
          <t>The damaged dataset with its six planted defects, and the five outlier cases.</t>
        </is>
      </c>
      <c r="E10" s="13" t="inlineStr">
        <is>
          <t>High — 4 hours each</t>
        </is>
      </c>
      <c r="F10" s="13" t="inlineStr">
        <is>
          <t>[A] DIVERGENT: the damaged dataset and the five outlier cases. SHARED: all cleaning and visualisation content.
[B] DIVERGENT: the damaged dataset and the five outlier cases. SHARED: all cleaning and visualisation content.
[C] DIVERGENT: the damaged dataset and the five outlier cases. The 'stuck-at-zero sensor' case is emphasised for this cohort because it is the defect they will meet most often in practice. SHARED: all cleaning and visualisation content.</t>
        </is>
      </c>
    </row>
    <row r="11" ht="96" customHeight="1">
      <c r="A11" s="17" t="n">
        <v>7</v>
      </c>
      <c r="B11" s="18" t="inlineStr">
        <is>
          <t>PRACTICAL TEST 1 - Data Investigation (individual, offline)</t>
        </is>
      </c>
      <c r="C11" s="18" t="inlineStr">
        <is>
          <t>Format, duration, rules, offline bundle, rubric, invigilation plan, auto-check script, moderation plan.</t>
        </is>
      </c>
      <c r="D11" s="18" t="inlineStr">
        <is>
          <t>Three matched unseen dataset variants per cohort, with model answers and mark schemes. Nine variants in total.</t>
        </is>
      </c>
      <c r="E11" s="18" t="inlineStr">
        <is>
          <t>Very high — 6–8 hours each</t>
        </is>
      </c>
      <c r="F11" s="18" t="inlineStr">
        <is>
          <t>[A] DIVERGENT: the three dataset variants and their mark schemes. SHARED: format, rules, duration, rubric, offline bundle.
[B] DIVERGENT: the three dataset variants and their mark schemes. SHARED: format, rules, duration, rubric, offline bundle.
[C] DIVERGENT: the three dataset variants and their mark schemes. SHARED: format, rules, duration, rubric, offline bundle.</t>
        </is>
      </c>
    </row>
    <row r="12" ht="96" customHeight="1">
      <c r="A12" s="12" t="n">
        <v>8</v>
      </c>
      <c r="B12" s="13" t="inlineStr">
        <is>
          <t>Learning from data: the first model</t>
        </is>
      </c>
      <c r="C12" s="13" t="inlineStr">
        <is>
          <t>All regression, metric and baseline content. The fifteen-line demonstration structure. The leaderboard.</t>
        </is>
      </c>
      <c r="D12" s="13" t="inlineStr">
        <is>
          <t>The dataset, the target, the physical error unit, and the 'is it good enough' question.</t>
        </is>
      </c>
      <c r="E12" s="13" t="inlineStr">
        <is>
          <t>Low — 1–2 hours each</t>
        </is>
      </c>
      <c r="F12" s="13" t="inlineStr">
        <is>
          <t>[A] DIVERGENT: dataset, target, physical error units, and the 'is it good enough' question. SHARED: all regression and metric content.
[B] DIVERGENT: dataset, target and the operating decision question. SHARED: all regression and metric content.
[C] DIVERGENT: dataset, target, physical error unit, and the availability of a published benchmark. SHARED: all regression and metric content.</t>
        </is>
      </c>
    </row>
    <row r="13" ht="96" customHeight="1">
      <c r="A13" s="10" t="n">
        <v>9</v>
      </c>
      <c r="B13" s="11" t="inlineStr">
        <is>
          <t>Classification: predicting which category a case belongs to</t>
        </is>
      </c>
      <c r="C13" s="11" t="inlineStr">
        <is>
          <t>All classification content. The cost-asymmetry framing. The 97% Trap design. The drawn decision tree.</t>
        </is>
      </c>
      <c r="D13" s="11" t="inlineStr">
        <is>
          <t>The dataset, the class definitions or banding decision, and the four cost categories.</t>
        </is>
      </c>
      <c r="E13" s="11" t="inlineStr">
        <is>
          <t>Medium — 2–3 hours each</t>
        </is>
      </c>
      <c r="F13" s="11" t="inlineStr">
        <is>
          <t>[A] DIVERGENT: dataset, class definitions and cost categories. SHARED: all classification content and the 97% Trap design.
[B] DIVERGENT: dataset, class definitions and cost categories. SHARED: all classification content and the 97% Trap design.
[C] DIVERGENT: dataset, class definitions and cost categories. SHARED: all classification content and the 97% Trap design.</t>
        </is>
      </c>
    </row>
    <row r="14" ht="96" customHeight="1">
      <c r="A14" s="12" t="n">
        <v>10</v>
      </c>
      <c r="B14" s="13" t="inlineStr">
        <is>
          <t>Can I trust this model?</t>
        </is>
      </c>
      <c r="C14" s="13" t="inlineStr">
        <is>
          <t>All validation, cross-validation and leakage content. The depth sweep. The Too Good To Be True format. PM1 review.</t>
        </is>
      </c>
      <c r="D14" s="13" t="inlineStr">
        <is>
          <t>The three planted leakage causes, dressed in the cohort's own terms.</t>
        </is>
      </c>
      <c r="E14" s="13" t="inlineStr">
        <is>
          <t>Medium — 2–3 hours each</t>
        </is>
      </c>
      <c r="F14" s="13" t="inlineStr">
        <is>
          <t>[A] DIVERGENT: the planted leakage causes are dressed in construction terms. SHARED: all validation content.
[B] DIVERGENT: the planted leakage causes are dressed in mining and petroleum terms, and the temporal leakage case is emphasised because process data is a time series. SHARED: all validation content.
[C] DIVERGENT: the planted leakage causes are dressed in sensor and maintenance terms, and temporal leakage is emphasised because sensor data is a time series. SHARED: all validation content.</t>
        </is>
      </c>
    </row>
    <row r="15" ht="96" customHeight="1">
      <c r="A15" s="10" t="n">
        <v>11</v>
      </c>
      <c r="B15" s="11" t="inlineStr">
        <is>
          <t>Features: where engineering knowledge enters the model</t>
        </is>
      </c>
      <c r="C15" s="11" t="inlineStr">
        <is>
          <t>All encoding, scaling, ColumnTransformer, Pipeline, selection and ablation content. The Domain Advantage design.</t>
        </is>
      </c>
      <c r="D15" s="11" t="inlineStr">
        <is>
          <t>The feature set, the one demonstration feature that must beat the raw columns, and the standards reference sheet.</t>
        </is>
      </c>
      <c r="E15" s="11" t="inlineStr">
        <is>
          <t>Medium — 3 hours each</t>
        </is>
      </c>
      <c r="F15" s="11" t="inlineStr">
        <is>
          <t>[A] DIVERGENT: the feature set and the standards reference sheet (relevant concrete and building-envelope codes). SHARED: all encoding, scaling, pipeline and ablation content.
[B] DIVERGENT: the feature set and the reference sheet of standard mining and petroleum relations. SHARED: all encoding, scaling, pipeline and ablation content.
[C] 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96" customHeight="1">
      <c r="A16" s="12" t="n">
        <v>12</v>
      </c>
      <c r="B16" s="13" t="inlineStr">
        <is>
          <t>Model comparison and engineering judgement (low-guidance week)</t>
        </is>
      </c>
      <c r="C16" s="13" t="inlineStr">
        <is>
          <t>The comparison protocol, the five selection criteria, the GridSearchCV demonstration, the defence round, the question bank.</t>
        </is>
      </c>
      <c r="D16" s="13" t="inlineStr">
        <is>
          <t>The challenge dataset and the fictional client brief with its real constraint.</t>
        </is>
      </c>
      <c r="E16" s="13" t="inlineStr">
        <is>
          <t>Medium — 2–3 hours each</t>
        </is>
      </c>
      <c r="F16" s="13" t="inlineStr">
        <is>
          <t>[A] DIVERGENT: challenge dataset and client brief. SHARED: protocol, defence round, criteria.
[B] DIVERGENT: challenge dataset and client brief. SHARED: protocol, defence round, criteria.
[C] DIVERGENT: challenge dataset and client brief. SHARED: protocol, defence round, criteria.</t>
        </is>
      </c>
    </row>
    <row r="17" ht="96" customHeight="1">
      <c r="A17" s="10" t="n">
        <v>13</v>
      </c>
      <c r="B17" s="11" t="inlineStr">
        <is>
          <t>Project studio: reproducibility, communication and peer review</t>
        </is>
      </c>
      <c r="C17" s="11" t="inlineStr">
        <is>
          <t>EVERYTHING. Repository structure, README standards, requirements.txt, restart-and-run-all, peer review, the clinic rotation.</t>
        </is>
      </c>
      <c r="D17" s="11" t="inlineStr">
        <is>
          <t>Nothing. This week is genuinely identical across all three cohorts.</t>
        </is>
      </c>
      <c r="E17" s="11" t="inlineStr">
        <is>
          <t>None</t>
        </is>
      </c>
      <c r="F17" s="11" t="inlineStr">
        <is>
          <t>[A] FULLY SHARED. Reproducibility, README standards and peer review are identical across all three cohorts. Prepare once.
[B] FULLY SHARED. Prepare once.
[C] FULLY SHARED. Prepare once.</t>
        </is>
      </c>
    </row>
    <row r="18" ht="96" customHeight="1">
      <c r="A18" s="17" t="n">
        <v>14</v>
      </c>
      <c r="B18" s="18" t="inlineStr">
        <is>
          <t>PRACTICAL TEST 2 - End-to-End Engineering Machine Learning (individual, offline)</t>
        </is>
      </c>
      <c r="C18" s="18" t="inlineStr">
        <is>
          <t>Format, duration, rules, offline bundle, rubric, invigilation, auto-check script, moderation.</t>
        </is>
      </c>
      <c r="D18" s="18" t="inlineStr">
        <is>
          <t>Three matched unseen dataset variants per cohort. Nine variants in total.</t>
        </is>
      </c>
      <c r="E18" s="18" t="inlineStr">
        <is>
          <t>Very high — 6–8 hours each</t>
        </is>
      </c>
      <c r="F18" s="18" t="inlineStr">
        <is>
          <t>[A] DIVERGENT: the three dataset variants and their mark schemes. SHARED: format, rules, duration, rubric.
[B] DIVERGENT: the three dataset variants and their mark schemes. SHARED: format, rules, duration, rubric.
[C] DIVERGENT: the three dataset variants and their mark schemes. SHARED: format, rules, duration, rubric.</t>
        </is>
      </c>
    </row>
    <row r="19" ht="96" customHeight="1">
      <c r="A19" s="10" t="n">
        <v>15</v>
      </c>
      <c r="B19" s="11" t="inlineStr">
        <is>
          <t>Engineering ML Demo Day, individual viva and reflection</t>
        </is>
      </c>
      <c r="C19" s="11" t="inlineStr">
        <is>
          <t>Demo fair format, viva bank structure, peer assessment form, recognition categories, reflection prompt, the Week 1 promise comparison.</t>
        </is>
      </c>
      <c r="D19" s="11" t="inlineStr">
        <is>
          <t>The project titles that emerge, and which external assessor to invite.</t>
        </is>
      </c>
      <c r="E19" s="11" t="inlineStr">
        <is>
          <t>Low — under 1 hour each</t>
        </is>
      </c>
      <c r="F19" s="11" t="inlineStr">
        <is>
          <t>[A] DIVERGENT: project titles and invited assessors (invite a structural or building services engineer). SHARED: demo format, viva bank structure, rubric.
[B] DIVERGENT: project titles and invited assessors (invite a mining or petroleum engineer). SHARED: demo format, viva bank structure, rubric.
[C] DIVERGENT: project titles and invited assessors (invite an electrical, control or automation engineer). SHARED: demo format, viva bank structure, rubric.</t>
        </is>
      </c>
    </row>
    <row r="21" ht="46" customHeight="1">
      <c r="A21" s="20" t="inlineStr">
        <is>
          <t>Reading of this sheet: the two assessment weeks and Weeks 4–7 carry almost all of the triplicated preparation, because that is where the datasets must be authored. Weeks 2 and 13 require no divergent preparation at all. Eighteen unseen test dataset variants are needed in total — nine for each test, being three matched variants per cohort. Build the nine for Test 1 during Weeks 2–5, and the nine for Test 2 during Weeks 8–12. Do not leave either set to the fortnight before the test, when there will be no capacity.</t>
        </is>
      </c>
    </row>
  </sheetData>
  <mergeCells count="3">
    <mergeCell ref="A2:F2"/>
    <mergeCell ref="A21:F21"/>
    <mergeCell ref="A1:F1"/>
  </mergeCells>
  <pageMargins left="0.75" right="0.75" top="1" bottom="1" header="0.5" footer="0.5"/>
</worksheet>
</file>

<file path=xl/worksheets/sheet8.xml><?xml version="1.0" encoding="utf-8"?>
<worksheet xmlns="http://schemas.openxmlformats.org/spreadsheetml/2006/main">
  <sheetPr>
    <tabColor rgb="00C55A11"/>
    <outlinePr summaryBelow="1" summaryRight="1"/>
    <pageSetUpPr/>
  </sheetPr>
  <dimension ref="A1:F40"/>
  <sheetViews>
    <sheetView workbookViewId="0">
      <pane ySplit="3" topLeftCell="A4" activePane="bottomLeft" state="frozen"/>
      <selection pane="bottomLeft" activeCell="A1" sqref="A1"/>
    </sheetView>
  </sheetViews>
  <sheetFormatPr baseColWidth="8" defaultRowHeight="15"/>
  <cols>
    <col width="42" customWidth="1" min="1" max="1"/>
    <col width="30" customWidth="1" min="2" max="2"/>
    <col width="34" customWidth="1" min="3" max="3"/>
    <col width="10" customWidth="1" min="4" max="4"/>
    <col width="54" customWidth="1" min="5" max="5"/>
    <col width="44" customWidth="1" min="6" max="6"/>
  </cols>
  <sheetData>
    <row r="1" ht="26" customHeight="1">
      <c r="A1" s="1" t="inlineStr">
        <is>
          <t>Semester 1 assessment design</t>
        </is>
      </c>
    </row>
    <row r="2" ht="18" customHeight="1">
      <c r="A2" s="2" t="inlineStr">
        <is>
          <t>Entirely practical, continuous and project-based. No traditional written examination. 65% of the mark is individual; 35% is machine-marked.</t>
        </is>
      </c>
    </row>
    <row r="4" ht="20" customHeight="1">
      <c r="A4" s="21" t="inlineStr">
        <is>
          <t>MODEL 1 — RECOMMENDED</t>
        </is>
      </c>
    </row>
    <row r="5" ht="32" customHeight="1">
      <c r="A5" s="6" t="inlineStr">
        <is>
          <t>Component</t>
        </is>
      </c>
      <c r="B5" s="6" t="inlineStr">
        <is>
          <t>When</t>
        </is>
      </c>
      <c r="C5" s="6" t="inlineStr">
        <is>
          <t>Individual / team</t>
        </is>
      </c>
      <c r="D5" s="6" t="inlineStr">
        <is>
          <t>Weight</t>
        </is>
      </c>
      <c r="E5" s="6" t="inlineStr">
        <is>
          <t>Deliverable</t>
        </is>
      </c>
      <c r="F5" s="6" t="inlineStr">
        <is>
          <t>Marked against</t>
        </is>
      </c>
    </row>
    <row r="6" ht="42" customHeight="1">
      <c r="A6" s="10" t="inlineStr">
        <is>
          <t>WEEKLY QUIZZES (12 graded, best 10 of 12)</t>
        </is>
      </c>
      <c r="B6" s="11" t="inlineStr">
        <is>
          <t>End of every teaching session: W1-W6 and W8-W13</t>
        </is>
      </c>
      <c r="C6" s="11" t="inlineStr">
        <is>
          <t>Individual, auto-graded</t>
        </is>
      </c>
      <c r="D6" s="22" t="n">
        <v>0.1</v>
      </c>
      <c r="E6" s="11" t="inlineStr">
        <is>
          <t>Five-minute QR-code quiz in the last five minutes of the session. 5 diagnostic questions, 1% each. Instant score and teaching feedback. No resits - the two dropped scores cover absence. A network failure converts that week to a 48-hour asynchronous window.</t>
        </is>
      </c>
      <c r="F6" s="11" t="inlineStr">
        <is>
          <t>Auto-marked. Machine-scored, so the marking cost is zero once the question banks exist.</t>
        </is>
      </c>
    </row>
    <row r="7" ht="42" customHeight="1">
      <c r="A7" s="10" t="inlineStr">
        <is>
          <t>Practical challenges &amp; assignments (best 8 of 11)</t>
        </is>
      </c>
      <c r="B7" s="11" t="inlineStr">
        <is>
          <t>Weeks 1-12</t>
        </is>
      </c>
      <c r="C7" s="11" t="inlineStr">
        <is>
          <t>Individual, auto-graded</t>
        </is>
      </c>
      <c r="D7" s="22" t="n">
        <v>0.1</v>
      </c>
      <c r="E7" s="11" t="inlineStr">
        <is>
          <t>Weekly notebooks, scripts and one-pagers pushed to the repository. Students self-check against visible tests before submitting; the lecturer batch-grades against hidden tests.</t>
        </is>
      </c>
      <c r="F7" s="11" t="inlineStr">
        <is>
          <t>autograde.py against a per-week test spec; human review only of flagged or borderline scripts</t>
        </is>
      </c>
    </row>
    <row r="8" ht="42" customHeight="1">
      <c r="A8" s="10" t="inlineStr">
        <is>
          <t>Data Analysis Project</t>
        </is>
      </c>
      <c r="B8" s="11" t="inlineStr">
        <is>
          <t>Launched W5, due W8</t>
        </is>
      </c>
      <c r="C8" s="11" t="inlineStr">
        <is>
          <t>Team of 4-5 (individual log required)</t>
        </is>
      </c>
      <c r="D8" s="22" t="n">
        <v>0.1</v>
      </c>
      <c r="E8" s="11" t="inlineStr">
        <is>
          <t>Cleaned dataset, question-driven analysis notebook, 4+ charts, 1-page findings</t>
        </is>
      </c>
      <c r="F8" s="11" t="inlineStr">
        <is>
          <t>Data Analysis Project rubric (see Rubrics sheet). Human-marked.</t>
        </is>
      </c>
    </row>
    <row r="9" ht="42" customHeight="1">
      <c r="A9" s="10" t="inlineStr">
        <is>
          <t>PRACTICAL TEST 1 - Data Investigation</t>
        </is>
      </c>
      <c r="B9" s="11" t="inlineStr">
        <is>
          <t>Week 7</t>
        </is>
      </c>
      <c r="C9" s="11" t="inlineStr">
        <is>
          <t>Individual, offline, 2h25</t>
        </is>
      </c>
      <c r="D9" s="22" t="n">
        <v>0.15</v>
      </c>
      <c r="E9" s="11" t="inlineStr">
        <is>
          <t>Investigation notebook + written reasoning booklet. Part A answers are entered in a structured answers dictionary so 40 of the 100 marks are machine-marked offline; the remaining 60 are human-marked.</t>
        </is>
      </c>
      <c r="F9" s="11" t="inlineStr">
        <is>
          <t>Test 1 rubric (see Rubrics sheet). 40 auto / 60 human.</t>
        </is>
      </c>
    </row>
    <row r="10" ht="42" customHeight="1">
      <c r="A10" s="10" t="inlineStr">
        <is>
          <t>PRACTICAL TEST 2 - End-to-End Engineering ML</t>
        </is>
      </c>
      <c r="B10" s="11" t="inlineStr">
        <is>
          <t>Week 14</t>
        </is>
      </c>
      <c r="C10" s="11" t="inlineStr">
        <is>
          <t>Individual, offline, 2h25</t>
        </is>
      </c>
      <c r="D10" s="22" t="n">
        <v>0.2</v>
      </c>
      <c r="E10" s="11" t="inlineStr">
        <is>
          <t>End-to-end notebook + written reasoning booklet. Part A structured answers give 45 machine-marked marks of the 100; the remaining 55 are human-marked.</t>
        </is>
      </c>
      <c r="F10" s="11" t="inlineStr">
        <is>
          <t>Test 2 rubric (see Rubrics sheet). 45 auto / 55 human.</t>
        </is>
      </c>
    </row>
    <row r="11" ht="42" customHeight="1">
      <c r="A11" s="10" t="inlineStr">
        <is>
          <t>Engineering ML Project</t>
        </is>
      </c>
      <c r="B11" s="11" t="inlineStr">
        <is>
          <t>Launched W9, milestones W10/W11/W12/W13, due W15</t>
        </is>
      </c>
      <c r="C11" s="11" t="inlineStr">
        <is>
          <t>Team of 4-5 (individual accountability via viva + log)</t>
        </is>
      </c>
      <c r="D11" s="22" t="n">
        <v>0.25</v>
      </c>
      <c r="E11" s="11" t="inlineStr">
        <is>
          <t>Repository, 2-page engineering brief, poster, AI-use declaration, contribution log</t>
        </is>
      </c>
      <c r="F11" s="11" t="inlineStr">
        <is>
          <t>Project rubric (see Rubrics sheet)</t>
        </is>
      </c>
    </row>
    <row r="12" ht="42" customHeight="1">
      <c r="A12" s="10" t="inlineStr">
        <is>
          <t>Demo, viva &amp; individual reflection</t>
        </is>
      </c>
      <c r="B12" s="11" t="inlineStr">
        <is>
          <t>Week 15</t>
        </is>
      </c>
      <c r="C12" s="11" t="inlineStr">
        <is>
          <t>Individual</t>
        </is>
      </c>
      <c r="D12" s="22" t="n">
        <v>0.1</v>
      </c>
      <c r="E12" s="11" t="inlineStr">
        <is>
          <t>6-minute demo, 2 unseen viva questions, 500-word reflection</t>
        </is>
      </c>
      <c r="F12" s="11" t="inlineStr">
        <is>
          <t>Demo &amp; viva rubric (see Rubrics sheet)</t>
        </is>
      </c>
    </row>
    <row r="13" ht="18" customHeight="1">
      <c r="A13" s="23" t="inlineStr">
        <is>
          <t>TOTAL</t>
        </is>
      </c>
      <c r="B13" s="24" t="inlineStr"/>
      <c r="C13" s="24" t="inlineStr"/>
      <c r="D13" s="25">
        <f>SUM(D6:D12)</f>
        <v/>
      </c>
      <c r="E13" s="24" t="inlineStr"/>
      <c r="F13" s="24" t="inlineStr"/>
    </row>
    <row r="14" ht="26" customHeight="1">
      <c r="A14" s="7" t="inlineStr">
        <is>
          <t>Of which individual</t>
        </is>
      </c>
      <c r="B14" s="8" t="inlineStr"/>
      <c r="C14" s="8" t="inlineStr"/>
      <c r="D14" s="26">
        <f>D6+D7+D9+D10+D12</f>
        <v/>
      </c>
      <c r="E14" s="8" t="inlineStr"/>
      <c r="F14" s="8" t="inlineStr">
        <is>
          <t>Weekly quizzes, weekly challenges, both practical tests, and the demo/viva/reflection are individually assessed.</t>
        </is>
      </c>
    </row>
    <row r="15" ht="26" customHeight="1">
      <c r="A15" s="15" t="inlineStr">
        <is>
          <t>Of which team</t>
        </is>
      </c>
      <c r="B15" s="16" t="inlineStr"/>
      <c r="C15" s="16" t="inlineStr"/>
      <c r="D15" s="27">
        <f>D8+D11</f>
        <v/>
      </c>
      <c r="E15" s="16" t="inlineStr"/>
      <c r="F15" s="16" t="inlineStr">
        <is>
          <t>Team marks are moderated by the individual viva and the contribution log.</t>
        </is>
      </c>
    </row>
    <row r="16" ht="30" customHeight="1">
      <c r="A16" s="23" t="inlineStr">
        <is>
          <t>Of which machine-marked</t>
        </is>
      </c>
      <c r="B16" s="24" t="inlineStr"/>
      <c r="C16" s="24" t="inlineStr"/>
      <c r="D16" s="28">
        <f>D6+D7+D9*0.4+D10*0.45</f>
        <v/>
      </c>
      <c r="E16" s="24" t="inlineStr"/>
      <c r="F16" s="24" t="inlineStr">
        <is>
          <t>Weekly quizzes and weekly challenges in full, plus 40% of Test 1 and 45% of Test 2. Held deliberately below half of the course mark — see the Assessment Tech Stack sheet.</t>
        </is>
      </c>
    </row>
    <row r="19" ht="20" customHeight="1">
      <c r="A19" s="21" t="inlineStr">
        <is>
          <t>MODEL 2 — ALTERNATIVE, if IUEA mandates a coursework / final assessment split</t>
        </is>
      </c>
    </row>
    <row r="20" ht="32" customHeight="1">
      <c r="A20" s="6" t="inlineStr">
        <is>
          <t>Component</t>
        </is>
      </c>
      <c r="B20" s="6" t="inlineStr">
        <is>
          <t>When</t>
        </is>
      </c>
      <c r="C20" s="6" t="inlineStr">
        <is>
          <t>Individual / team</t>
        </is>
      </c>
      <c r="D20" s="6" t="inlineStr">
        <is>
          <t>Weight</t>
        </is>
      </c>
      <c r="E20" s="6" t="inlineStr">
        <is>
          <t>Note</t>
        </is>
      </c>
      <c r="F20" s="6" t="inlineStr"/>
    </row>
    <row r="21" ht="18" customHeight="1">
      <c r="A21" s="23" t="inlineStr">
        <is>
          <t>CONTINUOUS ASSESSMENT (40%)</t>
        </is>
      </c>
      <c r="B21" s="24" t="inlineStr"/>
      <c r="C21" s="24" t="inlineStr"/>
      <c r="D21" s="24" t="inlineStr"/>
      <c r="E21" s="24" t="inlineStr"/>
      <c r="F21" s="24" t="inlineStr"/>
    </row>
    <row r="22" ht="20" customHeight="1">
      <c r="A22" s="29" t="inlineStr">
        <is>
          <t>Weekly quizzes (best 10 of 12)</t>
        </is>
      </c>
      <c r="B22" s="11" t="inlineStr">
        <is>
          <t>End of every teaching session: W1-W6, W8-W13</t>
        </is>
      </c>
      <c r="C22" s="11" t="inlineStr">
        <is>
          <t>Individual, auto</t>
        </is>
      </c>
      <c r="D22" s="22" t="n">
        <v>0.1</v>
      </c>
      <c r="E22" s="11" t="inlineStr">
        <is>
          <t>As in Model 1</t>
        </is>
      </c>
      <c r="F22" s="11" t="inlineStr"/>
    </row>
    <row r="23" ht="20" customHeight="1">
      <c r="A23" s="29" t="inlineStr">
        <is>
          <t>Practical challenges (best 8 of 11)</t>
        </is>
      </c>
      <c r="B23" s="11" t="inlineStr">
        <is>
          <t>Weeks 1-12</t>
        </is>
      </c>
      <c r="C23" s="11" t="inlineStr">
        <is>
          <t>Individual, auto</t>
        </is>
      </c>
      <c r="D23" s="22" t="n">
        <v>0.1</v>
      </c>
      <c r="E23" s="11" t="inlineStr">
        <is>
          <t>As in Model 1</t>
        </is>
      </c>
      <c r="F23" s="11" t="inlineStr"/>
    </row>
    <row r="24" ht="20" customHeight="1">
      <c r="A24" s="29" t="inlineStr">
        <is>
          <t>Data Analysis Project</t>
        </is>
      </c>
      <c r="B24" s="11" t="inlineStr">
        <is>
          <t>Week 8</t>
        </is>
      </c>
      <c r="C24" s="11" t="inlineStr">
        <is>
          <t>Team</t>
        </is>
      </c>
      <c r="D24" s="22" t="n">
        <v>0.1</v>
      </c>
      <c r="E24" s="11" t="inlineStr">
        <is>
          <t>As in Model 1</t>
        </is>
      </c>
      <c r="F24" s="11" t="inlineStr"/>
    </row>
    <row r="25" ht="20" customHeight="1">
      <c r="A25" s="29" t="inlineStr">
        <is>
          <t>Practical Test 1</t>
        </is>
      </c>
      <c r="B25" s="11" t="inlineStr">
        <is>
          <t>Week 7</t>
        </is>
      </c>
      <c r="C25" s="11" t="inlineStr">
        <is>
          <t>Individual</t>
        </is>
      </c>
      <c r="D25" s="22" t="n">
        <v>0.1</v>
      </c>
      <c r="E25" s="11" t="inlineStr">
        <is>
          <t>Reduced from 15% in this model</t>
        </is>
      </c>
      <c r="F25" s="11" t="inlineStr"/>
    </row>
    <row r="26" ht="18" customHeight="1">
      <c r="A26" s="23" t="inlineStr">
        <is>
          <t>FINAL ASSESSMENT (60%)</t>
        </is>
      </c>
      <c r="B26" s="24" t="inlineStr"/>
      <c r="C26" s="24" t="inlineStr"/>
      <c r="D26" s="24" t="inlineStr"/>
      <c r="E26" s="24" t="inlineStr"/>
      <c r="F26" s="24" t="inlineStr"/>
    </row>
    <row r="27" ht="20" customHeight="1">
      <c r="A27" s="29" t="inlineStr">
        <is>
          <t>Practical Test 2</t>
        </is>
      </c>
      <c r="B27" s="11" t="inlineStr">
        <is>
          <t>Week 14</t>
        </is>
      </c>
      <c r="C27" s="11" t="inlineStr">
        <is>
          <t>Individual</t>
        </is>
      </c>
      <c r="D27" s="22" t="n">
        <v>0.2</v>
      </c>
      <c r="E27" s="11" t="inlineStr">
        <is>
          <t>As in Model 1</t>
        </is>
      </c>
      <c r="F27" s="11" t="inlineStr"/>
    </row>
    <row r="28" ht="20" customHeight="1">
      <c r="A28" s="29" t="inlineStr">
        <is>
          <t>Engineering ML Project</t>
        </is>
      </c>
      <c r="B28" s="11" t="inlineStr">
        <is>
          <t>Week 15</t>
        </is>
      </c>
      <c r="C28" s="11" t="inlineStr">
        <is>
          <t>Team</t>
        </is>
      </c>
      <c r="D28" s="22" t="n">
        <v>0.3</v>
      </c>
      <c r="E28" s="11" t="inlineStr">
        <is>
          <t>Increased from 25% in this model</t>
        </is>
      </c>
      <c r="F28" s="11" t="inlineStr"/>
    </row>
    <row r="29" ht="20" customHeight="1">
      <c r="A29" s="29" t="inlineStr">
        <is>
          <t>Demo, viva &amp; reflection</t>
        </is>
      </c>
      <c r="B29" s="11" t="inlineStr">
        <is>
          <t>Week 15</t>
        </is>
      </c>
      <c r="C29" s="11" t="inlineStr">
        <is>
          <t>Individual</t>
        </is>
      </c>
      <c r="D29" s="22" t="n">
        <v>0.1</v>
      </c>
      <c r="E29" s="11" t="inlineStr">
        <is>
          <t>As in Model 1</t>
        </is>
      </c>
      <c r="F29" s="11" t="inlineStr"/>
    </row>
    <row r="30" ht="18" customHeight="1">
      <c r="A30" s="23" t="inlineStr">
        <is>
          <t>TOTAL</t>
        </is>
      </c>
      <c r="B30" s="24" t="inlineStr"/>
      <c r="C30" s="24" t="inlineStr"/>
      <c r="D30" s="25">
        <f>D22+D23+D24+D25+D27+D28+D29</f>
        <v/>
      </c>
      <c r="E30" s="24" t="inlineStr"/>
      <c r="F30" s="24" t="inlineStr"/>
    </row>
    <row r="33" ht="20" customHeight="1">
      <c r="A33" s="21" t="inlineStr">
        <is>
          <t>DESIGN NOTES</t>
        </is>
      </c>
    </row>
    <row r="34" ht="52" customHeight="1">
      <c r="A34" s="4" t="inlineStr">
        <is>
          <t>Why two tests, not one</t>
        </is>
      </c>
      <c r="B34" s="5" t="inlineStr">
        <is>
          <t>The original curriculum sketch carried a single practical test. With the assessment weeks fixed at Weeks 7 and 14, two tests are available and they should examine different things: Week 7 certifies data literacy (can you investigate a dataset?) and Week 14 certifies end-to-end capability (can you build and defend a model?). Splitting them also means a student who struggles in October is not sunk.</t>
        </is>
      </c>
    </row>
    <row r="35" ht="52" customHeight="1">
      <c r="A35" s="4" t="inlineStr">
        <is>
          <t>Why the tests run offline</t>
        </is>
      </c>
      <c r="B35" s="5" t="inlineStr">
        <is>
          <t>It makes the AI policy enforceable without surveillance. AI assistance is permitted and actively taught in coursework, where students explain and defend their work; it is excluded from the two tests, which certify unaided capability. Students are told the reasoning in Week 6, not on the day.</t>
        </is>
      </c>
    </row>
    <row r="36" ht="52" customHeight="1">
      <c r="A36" s="4" t="inlineStr">
        <is>
          <t>Why 65% individual</t>
        </is>
      </c>
      <c r="B36" s="5" t="inlineStr">
        <is>
          <t>With teams of 4–5 and up to 22 teams in Cohort A, a team-heavy mark scheme would let a weak student pass on a strong teammate's work. Twelve individual quizzes, two individual tests, individually marked weekly challenges, and an individual viva make the team mark safe to award.</t>
        </is>
      </c>
    </row>
    <row r="37" ht="52" customHeight="1">
      <c r="A37" s="4" t="inlineStr">
        <is>
          <t>Why continuous assessment</t>
        </is>
      </c>
      <c r="B37" s="5" t="inlineStr">
        <is>
          <t>Twelve auto-graded weekly quizzes plus eleven auto-graded weekly submissions mean 40% of the mark accumulates steadily rather than landing in two large events. Students get feedback in minutes, and the lecturer gets a weekly engagement signal across ~195 students that is otherwise invisible until the first test. See the 'Assessment Tech Stack' and 'Marking Load' sheets for how this is affordable for one person.</t>
        </is>
      </c>
    </row>
    <row r="38" ht="52" customHeight="1">
      <c r="A38" s="4" t="inlineStr">
        <is>
          <t>Why nothing rewards accuracy alone</t>
        </is>
      </c>
      <c r="B38" s="5" t="inlineStr">
        <is>
          <t>Across all six rubrics, method, reasoning, validation and interpretation carry far more weight than the score achieved. A student whose model performs poorly but who diagnoses why, and says so, should out-score a student who copies a Kaggle notebook to a better number. The Week 15 recognition categories reinforce this: there is no prize for highest accuracy.</t>
        </is>
      </c>
    </row>
    <row r="39" ht="52" customHeight="1">
      <c r="A39" s="4" t="inlineStr">
        <is>
          <t>Late, absent and resit policy</t>
        </is>
      </c>
      <c r="B39" s="5" t="inlineStr">
        <is>
          <t>To be aligned with IUEA regulations before Week 5. As a minimum, agree in advance: the penalty for late coursework, the procedure for a student who misses a test week with cause, and whether a resit practical is available. Publish it in the syllabus, not by announcement.</t>
        </is>
      </c>
    </row>
    <row r="40" ht="52" customHeight="1">
      <c r="A40" s="4" t="inlineStr">
        <is>
          <t>Moderation</t>
        </is>
      </c>
      <c r="B40" s="5" t="inlineStr">
        <is>
          <t>Sample-moderate 10% of every component, and 100% of any script within 3 marks of a grade boundary. Publish every rubric before the work is set — students should never meet a rubric for the first time in an assessment.</t>
        </is>
      </c>
    </row>
  </sheetData>
  <mergeCells count="12">
    <mergeCell ref="A2:F2"/>
    <mergeCell ref="A33:F33"/>
    <mergeCell ref="B39:F39"/>
    <mergeCell ref="B38:F38"/>
    <mergeCell ref="A19:F19"/>
    <mergeCell ref="B34:F34"/>
    <mergeCell ref="A1:F1"/>
    <mergeCell ref="B37:F37"/>
    <mergeCell ref="A4:F4"/>
    <mergeCell ref="B36:F36"/>
    <mergeCell ref="B40:F40"/>
    <mergeCell ref="B35:F35"/>
  </mergeCells>
  <pageMargins left="0.75" right="0.75" top="1" bottom="1" header="0.5" footer="0.5"/>
</worksheet>
</file>

<file path=xl/worksheets/sheet9.xml><?xml version="1.0" encoding="utf-8"?>
<worksheet xmlns="http://schemas.openxmlformats.org/spreadsheetml/2006/main">
  <sheetPr>
    <tabColor rgb="00A9D08E"/>
    <outlinePr summaryBelow="1" summaryRight="1"/>
    <pageSetUpPr/>
  </sheetPr>
  <dimension ref="A1:D60"/>
  <sheetViews>
    <sheetView workbookViewId="0">
      <pane ySplit="3" topLeftCell="A4" activePane="bottomLeft" state="frozen"/>
      <selection pane="bottomLeft" activeCell="A1" sqref="A1"/>
    </sheetView>
  </sheetViews>
  <sheetFormatPr baseColWidth="8" defaultRowHeight="15"/>
  <cols>
    <col width="34" customWidth="1" min="1" max="1"/>
    <col width="9" customWidth="1" min="2" max="2"/>
    <col width="96" customWidth="1" min="3" max="3"/>
    <col width="40" customWidth="1" min="4" max="4"/>
  </cols>
  <sheetData>
    <row r="1" ht="26" customHeight="1">
      <c r="A1" s="1" t="inlineStr">
        <is>
          <t>Assessment rubrics</t>
        </is>
      </c>
    </row>
    <row r="2" ht="18" customHeight="1">
      <c r="A2" s="2" t="inlineStr">
        <is>
          <t>Published to students before the work is set. Criterion weights sum to 100 by formula.</t>
        </is>
      </c>
    </row>
    <row r="4" ht="20" customHeight="1">
      <c r="A4" s="21" t="inlineStr">
        <is>
          <t>Engineering ML Project (25%) - as specified by the lecturer</t>
        </is>
      </c>
    </row>
    <row r="5" ht="22" customHeight="1">
      <c r="A5" s="6" t="inlineStr">
        <is>
          <t>Criterion</t>
        </is>
      </c>
      <c r="B5" s="6" t="inlineStr">
        <is>
          <t>Marks</t>
        </is>
      </c>
      <c r="C5" s="6" t="inlineStr">
        <is>
          <t>What earns the marks</t>
        </is>
      </c>
      <c r="D5" s="6" t="inlineStr">
        <is>
          <t>Marker note</t>
        </is>
      </c>
    </row>
    <row r="6" ht="44" customHeight="1">
      <c r="A6" s="10" t="inlineStr">
        <is>
          <t>Problem definition</t>
        </is>
      </c>
      <c r="B6" s="29" t="n">
        <v>15</v>
      </c>
      <c r="C6" s="11" t="inlineStr">
        <is>
          <t>The engineering problem is real, specific and bounded. The ML task is correctly derived from it. The target variable is justified, not merely available.</t>
        </is>
      </c>
      <c r="D6" s="11" t="inlineStr"/>
    </row>
    <row r="7" ht="44" customHeight="1">
      <c r="A7" s="10" t="inlineStr">
        <is>
          <t>Data understanding</t>
        </is>
      </c>
      <c r="B7" s="29" t="n">
        <v>15</v>
      </c>
      <c r="C7" s="11" t="inlineStr">
        <is>
          <t>Provenance, licence and collection method stated. Defects found and handled with justification. Limitations of the data acknowledged before any modelling.</t>
        </is>
      </c>
      <c r="D7" s="11" t="inlineStr"/>
    </row>
    <row r="8" ht="44" customHeight="1">
      <c r="A8" s="10" t="inlineStr">
        <is>
          <t>Methodology</t>
        </is>
      </c>
      <c r="B8" s="29" t="n">
        <v>20</v>
      </c>
      <c r="C8" s="11" t="inlineStr">
        <is>
          <t>Appropriate models chosen and compared under one protocol. Pipeline used. Hyperparameters handled sensibly. Choices explained rather than defaulted to.</t>
        </is>
      </c>
      <c r="D8" s="11" t="inlineStr"/>
    </row>
    <row r="9" ht="44" customHeight="1">
      <c r="A9" s="10" t="inlineStr">
        <is>
          <t>Engineering reasoning</t>
        </is>
      </c>
      <c r="B9" s="29" t="n">
        <v>20</v>
      </c>
      <c r="C9" s="11" t="inlineStr">
        <is>
          <t>Domain knowledge visibly enters the work through features, banding, metric choice or interpretation. The result is discussed as engineering, not as a score.</t>
        </is>
      </c>
      <c r="D9" s="11" t="inlineStr"/>
    </row>
    <row r="10" ht="44" customHeight="1">
      <c r="A10" s="10" t="inlineStr">
        <is>
          <t>Validation</t>
        </is>
      </c>
      <c r="B10" s="29" t="n">
        <v>15</v>
      </c>
      <c r="C10" s="11" t="inlineStr">
        <is>
          <t>Correct train/test discipline, cross-validation with a reported spread, leakage explicitly checked and ruled out, metric justified against the cost of error.</t>
        </is>
      </c>
      <c r="D10" s="11" t="inlineStr"/>
    </row>
    <row r="11" ht="44" customHeight="1">
      <c r="A11" s="10" t="inlineStr">
        <is>
          <t>Communication</t>
        </is>
      </c>
      <c r="B11" s="29" t="n">
        <v>10</v>
      </c>
      <c r="C11" s="11" t="inlineStr">
        <is>
          <t>The 2-page brief is readable by a non-specialist engineer. Charts answer questions and are captioned with findings. Uncertainty and limitations stated honestly.</t>
        </is>
      </c>
      <c r="D11" s="11" t="inlineStr"/>
    </row>
    <row r="12" ht="44" customHeight="1">
      <c r="A12" s="10" t="inlineStr">
        <is>
          <t>Reproducibility &amp; documentation</t>
        </is>
      </c>
      <c r="B12" s="29" t="n">
        <v>5</v>
      </c>
      <c r="C12" s="11" t="inlineStr">
        <is>
          <t>Repository runs from a clean clone. README complete. requirements.txt present. Seeds set. AI use declared. Contribution log present.</t>
        </is>
      </c>
      <c r="D12" s="11" t="inlineStr"/>
    </row>
    <row r="13" ht="18" customHeight="1">
      <c r="A13" s="23" t="inlineStr">
        <is>
          <t>TOTAL</t>
        </is>
      </c>
      <c r="B13" s="23">
        <f>SUM(B6:B12)</f>
        <v/>
      </c>
      <c r="C13" s="24" t="inlineStr"/>
      <c r="D13" s="24" t="inlineStr"/>
    </row>
    <row r="15" ht="20" customHeight="1">
      <c r="A15" s="21" t="inlineStr">
        <is>
          <t>Practical Test 1 - Data Investigation (15%)</t>
        </is>
      </c>
    </row>
    <row r="16" ht="22" customHeight="1">
      <c r="A16" s="6" t="inlineStr">
        <is>
          <t>Criterion</t>
        </is>
      </c>
      <c r="B16" s="6" t="inlineStr">
        <is>
          <t>Marks</t>
        </is>
      </c>
      <c r="C16" s="6" t="inlineStr">
        <is>
          <t>What earns the marks</t>
        </is>
      </c>
      <c r="D16" s="6" t="inlineStr">
        <is>
          <t>Marker note</t>
        </is>
      </c>
    </row>
    <row r="17" ht="44" customHeight="1">
      <c r="A17" s="10" t="inlineStr">
        <is>
          <t>Loading &amp; profiling</t>
        </is>
      </c>
      <c r="B17" s="29" t="n">
        <v>15</v>
      </c>
      <c r="C17" s="11" t="inlineStr">
        <is>
          <t>Data loaded correctly; shape, types and summary produced; the dataset is described accurately in the student's own words.</t>
        </is>
      </c>
      <c r="D17" s="11" t="inlineStr"/>
    </row>
    <row r="18" ht="44" customHeight="1">
      <c r="A18" s="10" t="inlineStr">
        <is>
          <t>Cleaning decisions &amp; justification</t>
        </is>
      </c>
      <c r="B18" s="29" t="n">
        <v>20</v>
      </c>
      <c r="C18" s="11" t="inlineStr">
        <is>
          <t>Defects found. Each handling decision stated AND justified. Marks are for the justification - an unjustified correct fix scores roughly half.</t>
        </is>
      </c>
      <c r="D18" s="11" t="inlineStr"/>
    </row>
    <row r="19" ht="44" customHeight="1">
      <c r="A19" s="10" t="inlineStr">
        <is>
          <t>Visualisation</t>
        </is>
      </c>
      <c r="B19" s="29" t="n">
        <v>20</v>
      </c>
      <c r="C19" s="11" t="inlineStr">
        <is>
          <t>Three charts, each captioned with the question it answers. Correct chart type. Axes labelled with units. No decoration without purpose.</t>
        </is>
      </c>
      <c r="D19" s="11" t="inlineStr"/>
    </row>
    <row r="20" ht="44" customHeight="1">
      <c r="A20" s="10" t="inlineStr">
        <is>
          <t>Findings</t>
        </is>
      </c>
      <c r="B20" s="29" t="n">
        <v>20</v>
      </c>
      <c r="C20" s="11" t="inlineStr">
        <is>
          <t>Five findings, supported by evidence from the data, stated with correct magnitudes and units. A wrong number loses the mark even if the method was right.</t>
        </is>
      </c>
      <c r="D20" s="11" t="inlineStr"/>
    </row>
    <row r="21" ht="44" customHeight="1">
      <c r="A21" s="10" t="inlineStr">
        <is>
          <t>Engineering interpretation</t>
        </is>
      </c>
      <c r="B21" s="29" t="n">
        <v>15</v>
      </c>
      <c r="C21" s="11" t="inlineStr">
        <is>
          <t>One recommendation that an engineer could act on, plus a clear statement of what further data would be needed.</t>
        </is>
      </c>
      <c r="D21" s="11" t="inlineStr"/>
    </row>
    <row r="22" ht="44" customHeight="1">
      <c r="A22" s="10" t="inlineStr">
        <is>
          <t>Clarity &amp; reproducibility</t>
        </is>
      </c>
      <c r="B22" s="29" t="n">
        <v>10</v>
      </c>
      <c r="C22" s="11" t="inlineStr">
        <is>
          <t>Notebook runs top to bottom. Logical order. Markdown explains intent. No dead code.</t>
        </is>
      </c>
      <c r="D22" s="11" t="inlineStr"/>
    </row>
    <row r="23" ht="18" customHeight="1">
      <c r="A23" s="23" t="inlineStr">
        <is>
          <t>TOTAL</t>
        </is>
      </c>
      <c r="B23" s="23">
        <f>SUM(B17:B22)</f>
        <v/>
      </c>
      <c r="C23" s="24" t="inlineStr"/>
      <c r="D23" s="24" t="inlineStr"/>
    </row>
    <row r="25" ht="20" customHeight="1">
      <c r="A25" s="21" t="inlineStr">
        <is>
          <t>Practical Test 2 - End-to-End Engineering ML (20%)</t>
        </is>
      </c>
    </row>
    <row r="26" ht="22" customHeight="1">
      <c r="A26" s="6" t="inlineStr">
        <is>
          <t>Criterion</t>
        </is>
      </c>
      <c r="B26" s="6" t="inlineStr">
        <is>
          <t>Marks</t>
        </is>
      </c>
      <c r="C26" s="6" t="inlineStr">
        <is>
          <t>What earns the marks</t>
        </is>
      </c>
      <c r="D26" s="6" t="inlineStr">
        <is>
          <t>Marker note</t>
        </is>
      </c>
    </row>
    <row r="27" ht="44" customHeight="1">
      <c r="A27" s="10" t="inlineStr">
        <is>
          <t>Task framing</t>
        </is>
      </c>
      <c r="B27" s="29" t="n">
        <v>10</v>
      </c>
      <c r="C27" s="11" t="inlineStr">
        <is>
          <t>The ML task is correctly identified, the target named, and regression vs classification correctly chosen and justified.</t>
        </is>
      </c>
      <c r="D27" s="11" t="inlineStr"/>
    </row>
    <row r="28" ht="44" customHeight="1">
      <c r="A28" s="10" t="inlineStr">
        <is>
          <t>Data preparation &amp; leakage control</t>
        </is>
      </c>
      <c r="B28" s="29" t="n">
        <v>20</v>
      </c>
      <c r="C28" s="11" t="inlineStr">
        <is>
          <t>Cleaning and encoding appropriate. Split made before any fitting. Pipeline used. No leakage present - a leak found by the marker caps this criterion at zero.</t>
        </is>
      </c>
      <c r="D28" s="11" t="inlineStr"/>
    </row>
    <row r="29" ht="44" customHeight="1">
      <c r="A29" s="10" t="inlineStr">
        <is>
          <t>Modelling protocol</t>
        </is>
      </c>
      <c r="B29" s="29" t="n">
        <v>20</v>
      </c>
      <c r="C29" s="11" t="inlineStr">
        <is>
          <t>At least two models built and compared under identical conditions. Baseline included. Hyperparameters handled sensibly.</t>
        </is>
      </c>
      <c r="D29" s="11" t="inlineStr"/>
    </row>
    <row r="30" ht="44" customHeight="1">
      <c r="A30" s="10" t="inlineStr">
        <is>
          <t>Evaluation &amp; metric justification</t>
        </is>
      </c>
      <c r="B30" s="29" t="n">
        <v>20</v>
      </c>
      <c r="C30" s="11" t="inlineStr">
        <is>
          <t>Correct metrics computed. Metric choice defended against the cost of error. Cross-validation reported with a spread, not a single number.</t>
        </is>
      </c>
      <c r="D30" s="11" t="inlineStr"/>
    </row>
    <row r="31" ht="44" customHeight="1">
      <c r="A31" s="10" t="inlineStr">
        <is>
          <t>Engineering interpretation &amp; limits</t>
        </is>
      </c>
      <c r="B31" s="29" t="n">
        <v>20</v>
      </c>
      <c r="C31" s="11" t="inlineStr">
        <is>
          <t>The result is stated in physical or operational units. Three genuine limitations given. A clear position on whether it should be deployed.</t>
        </is>
      </c>
      <c r="D31" s="11" t="inlineStr"/>
    </row>
    <row r="32" ht="44" customHeight="1">
      <c r="A32" s="10" t="inlineStr">
        <is>
          <t>Code clarity</t>
        </is>
      </c>
      <c r="B32" s="29" t="n">
        <v>10</v>
      </c>
      <c r="C32" s="11" t="inlineStr">
        <is>
          <t>Runs top to bottom. Readable. Commented where the intent is not obvious.</t>
        </is>
      </c>
      <c r="D32" s="11" t="inlineStr"/>
    </row>
    <row r="33" ht="18" customHeight="1">
      <c r="A33" s="23" t="inlineStr">
        <is>
          <t>TOTAL</t>
        </is>
      </c>
      <c r="B33" s="23">
        <f>SUM(B27:B32)</f>
        <v/>
      </c>
      <c r="C33" s="24" t="inlineStr"/>
      <c r="D33" s="24" t="inlineStr"/>
    </row>
    <row r="35" ht="20" customHeight="1">
      <c r="A35" s="21" t="inlineStr">
        <is>
          <t>Data Analysis Project (10%)</t>
        </is>
      </c>
    </row>
    <row r="36" ht="22" customHeight="1">
      <c r="A36" s="6" t="inlineStr">
        <is>
          <t>Criterion</t>
        </is>
      </c>
      <c r="B36" s="6" t="inlineStr">
        <is>
          <t>Marks</t>
        </is>
      </c>
      <c r="C36" s="6" t="inlineStr">
        <is>
          <t>What earns the marks</t>
        </is>
      </c>
      <c r="D36" s="6" t="inlineStr">
        <is>
          <t>Marker note</t>
        </is>
      </c>
    </row>
    <row r="37" ht="44" customHeight="1">
      <c r="A37" s="10" t="inlineStr">
        <is>
          <t>Question &amp; dataset fit</t>
        </is>
      </c>
      <c r="B37" s="29" t="n">
        <v>20</v>
      </c>
      <c r="C37" s="11" t="inlineStr">
        <is>
          <t>A real engineering question is stated, and the chosen dataset can actually answer it. Provenance and licence stated.</t>
        </is>
      </c>
      <c r="D37" s="11" t="inlineStr"/>
    </row>
    <row r="38" ht="44" customHeight="1">
      <c r="A38" s="10" t="inlineStr">
        <is>
          <t>Data quality work</t>
        </is>
      </c>
      <c r="B38" s="29" t="n">
        <v>25</v>
      </c>
      <c r="C38" s="11" t="inlineStr">
        <is>
          <t>Defects found and handled with written justification. A data quality statement is present.</t>
        </is>
      </c>
      <c r="D38" s="11" t="inlineStr"/>
    </row>
    <row r="39" ht="44" customHeight="1">
      <c r="A39" s="10" t="inlineStr">
        <is>
          <t>Analysis &amp; visualisation</t>
        </is>
      </c>
      <c r="B39" s="29" t="n">
        <v>30</v>
      </c>
      <c r="C39" s="11" t="inlineStr">
        <is>
          <t>Four or more charts, each answering a stated question. Correct chart types, labelled axes, findings in the captions.</t>
        </is>
      </c>
      <c r="D39" s="11" t="inlineStr"/>
    </row>
    <row r="40" ht="44" customHeight="1">
      <c r="A40" s="10" t="inlineStr">
        <is>
          <t>Findings &amp; interpretation</t>
        </is>
      </c>
      <c r="B40" s="29" t="n">
        <v>20</v>
      </c>
      <c r="C40" s="11" t="inlineStr">
        <is>
          <t>Conclusions supported by the analysis, stated in engineering terms, with limitations acknowledged.</t>
        </is>
      </c>
      <c r="D40" s="11" t="inlineStr"/>
    </row>
    <row r="41" ht="44" customHeight="1">
      <c r="A41" s="10" t="inlineStr">
        <is>
          <t>Individual contribution log</t>
        </is>
      </c>
      <c r="B41" s="29" t="n">
        <v>5</v>
      </c>
      <c r="C41" s="11" t="inlineStr">
        <is>
          <t>Present, specific, and consistent with the repository's commit history.</t>
        </is>
      </c>
      <c r="D41" s="11" t="inlineStr"/>
    </row>
    <row r="42" ht="18" customHeight="1">
      <c r="A42" s="23" t="inlineStr">
        <is>
          <t>TOTAL</t>
        </is>
      </c>
      <c r="B42" s="23">
        <f>SUM(B37:B41)</f>
        <v/>
      </c>
      <c r="C42" s="24" t="inlineStr"/>
      <c r="D42" s="24" t="inlineStr"/>
    </row>
    <row r="44" ht="20" customHeight="1">
      <c r="A44" s="21" t="inlineStr">
        <is>
          <t>Weekly quizzes (10%) - how the five questions in each are marked</t>
        </is>
      </c>
    </row>
    <row r="45" ht="22" customHeight="1">
      <c r="A45" s="6" t="inlineStr">
        <is>
          <t>Criterion</t>
        </is>
      </c>
      <c r="B45" s="6" t="inlineStr">
        <is>
          <t>Marks</t>
        </is>
      </c>
      <c r="C45" s="6" t="inlineStr">
        <is>
          <t>What earns the marks</t>
        </is>
      </c>
      <c r="D45" s="6" t="inlineStr">
        <is>
          <t>Marker note</t>
        </is>
      </c>
    </row>
    <row r="46" ht="44" customHeight="1">
      <c r="A46" s="10" t="inlineStr">
        <is>
          <t>Diagnosis of a silent wrong answer</t>
        </is>
      </c>
      <c r="B46" s="29" t="n">
        <v>40</v>
      </c>
      <c r="C46" s="11" t="inlineStr">
        <is>
          <t>Two of the five questions show code that runs cleanly and returns a wrong result. The student must name the cause. Auto-marked, single correct option, distractors chosen to be the plausible wrong diagnoses.</t>
        </is>
      </c>
      <c r="D46" s="11" t="inlineStr"/>
    </row>
    <row r="47" ht="44" customHeight="1">
      <c r="A47" s="10" t="inlineStr">
        <is>
          <t>Reading an error or a traceback</t>
        </is>
      </c>
      <c r="B47" s="29" t="n">
        <v>20</v>
      </c>
      <c r="C47" s="11" t="inlineStr">
        <is>
          <t>One question shows a traceback or a failing cell. The student identifies the offending line or the cause. Auto-marked.</t>
        </is>
      </c>
      <c r="D47" s="11" t="inlineStr"/>
    </row>
    <row r="48" ht="44" customHeight="1">
      <c r="A48" s="10" t="inlineStr">
        <is>
          <t>Interpreting an output, chart or table</t>
        </is>
      </c>
      <c r="B48" s="29" t="n">
        <v>20</v>
      </c>
      <c r="C48" s="11" t="inlineStr">
        <is>
          <t>One question supplies a real output - a describe(), a confusion matrix, an ablation table - and asks what it means for the engineering problem. Auto-marked.</t>
        </is>
      </c>
      <c r="D48" s="11" t="inlineStr"/>
    </row>
    <row r="49" ht="44" customHeight="1">
      <c r="A49" s="10" t="inlineStr">
        <is>
          <t>Judgement under a stated constraint</t>
        </is>
      </c>
      <c r="B49" s="29" t="n">
        <v>20</v>
      </c>
      <c r="C49" s="11" t="inlineStr">
        <is>
          <t>One question gives a constraint (a cost, a false-alarm budget, a regulator) and asks which choice follows. Auto-marked, but the distractors are all defensible in the absence of the constraint, so the constraint has to be read.</t>
        </is>
      </c>
      <c r="D49" s="11" t="inlineStr"/>
    </row>
    <row r="50" ht="18" customHeight="1">
      <c r="A50" s="23" t="inlineStr">
        <is>
          <t>TOTAL</t>
        </is>
      </c>
      <c r="B50" s="23">
        <f>SUM(B46:B49)</f>
        <v/>
      </c>
      <c r="C50" s="24" t="inlineStr"/>
      <c r="D50" s="24" t="inlineStr"/>
    </row>
    <row r="52" ht="20" customHeight="1">
      <c r="A52" s="21" t="inlineStr">
        <is>
          <t>Demo, viva &amp; individual reflection (10%)</t>
        </is>
      </c>
    </row>
    <row r="53" ht="22" customHeight="1">
      <c r="A53" s="6" t="inlineStr">
        <is>
          <t>Criterion</t>
        </is>
      </c>
      <c r="B53" s="6" t="inlineStr">
        <is>
          <t>Marks</t>
        </is>
      </c>
      <c r="C53" s="6" t="inlineStr">
        <is>
          <t>What earns the marks</t>
        </is>
      </c>
      <c r="D53" s="6" t="inlineStr">
        <is>
          <t>Marker note</t>
        </is>
      </c>
    </row>
    <row r="54" ht="44" customHeight="1">
      <c r="A54" s="10" t="inlineStr">
        <is>
          <t>Demonstration</t>
        </is>
      </c>
      <c r="B54" s="29" t="n">
        <v>35</v>
      </c>
      <c r="C54" s="11" t="inlineStr">
        <is>
          <t>Six minutes, well structured, audience-appropriate, honest about what does not work. Poster is legible and self-explanatory.</t>
        </is>
      </c>
      <c r="D54" s="11" t="inlineStr"/>
    </row>
    <row r="55" ht="44" customHeight="1">
      <c r="A55" s="10" t="inlineStr">
        <is>
          <t>Viva - two unseen questions</t>
        </is>
      </c>
      <c r="B55" s="29" t="n">
        <v>40</v>
      </c>
      <c r="C55" s="11" t="inlineStr">
        <is>
          <t>Answers demonstrate genuine understanding of their own submission. A student who cannot explain their own code is marked on what they can explain.</t>
        </is>
      </c>
      <c r="D55" s="11" t="inlineStr"/>
    </row>
    <row r="56" ht="44" customHeight="1">
      <c r="A56" s="10" t="inlineStr">
        <is>
          <t>Reflection</t>
        </is>
      </c>
      <c r="B56" s="29" t="n">
        <v>20</v>
      </c>
      <c r="C56" s="11" t="inlineStr">
        <is>
          <t>500 words. Specific about what changed since Week 1, what remains difficult, and two concrete Semester 2 goals. Generic reflection scores low.</t>
        </is>
      </c>
      <c r="D56" s="11" t="inlineStr"/>
    </row>
    <row r="57" ht="44" customHeight="1">
      <c r="A57" s="10" t="inlineStr">
        <is>
          <t>AI-use declaration</t>
        </is>
      </c>
      <c r="B57" s="29" t="n">
        <v>5</v>
      </c>
      <c r="C57" s="11" t="inlineStr">
        <is>
          <t>Present, complete and plausible against the repository history.</t>
        </is>
      </c>
      <c r="D57" s="11" t="inlineStr"/>
    </row>
    <row r="58" ht="18" customHeight="1">
      <c r="A58" s="23" t="inlineStr">
        <is>
          <t>TOTAL</t>
        </is>
      </c>
      <c r="B58" s="23">
        <f>SUM(B54:B57)</f>
        <v/>
      </c>
      <c r="C58" s="24" t="inlineStr"/>
      <c r="D58" s="24" t="inlineStr"/>
    </row>
    <row r="60" ht="48" customHeight="1">
      <c r="A60" s="9" t="inlineStr">
        <is>
          <t>Standing marker rule across every rubric: a student is marked on what they can explain. If a submission contains work the student cannot account for in the viva or in the written reasoning section, the mark is reduced to the portion they can explain. This is stated in the syllabus and applied consistently, and it is what makes a permissive AI policy workable.</t>
        </is>
      </c>
    </row>
  </sheetData>
  <mergeCells count="9">
    <mergeCell ref="A1:D1"/>
    <mergeCell ref="A35:D35"/>
    <mergeCell ref="A4:D4"/>
    <mergeCell ref="A15:D15"/>
    <mergeCell ref="A52:D52"/>
    <mergeCell ref="A25:D25"/>
    <mergeCell ref="A2:D2"/>
    <mergeCell ref="A60:D60"/>
    <mergeCell ref="A44:D44"/>
  </mergeCell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56" customWidth="1" min="3" max="3"/>
    <col width="40" customWidth="1" min="4" max="4"/>
    <col width="76" customWidth="1" min="5" max="5"/>
  </cols>
  <sheetData>
    <row r="1" ht="26" customHeight="1">
      <c r="A1" s="1" t="inlineStr">
        <is>
          <t>Tool rollout — every tool introduced by the problem it solves</t>
        </is>
      </c>
    </row>
    <row r="2" ht="18" customHeight="1">
      <c r="A2" s="2" t="inlineStr">
        <is>
          <t>No tool is named before the problem that needs it. This is what prevents tool fatigue.</t>
        </is>
      </c>
    </row>
    <row r="4" ht="32" customHeight="1">
      <c r="A4" s="6" t="inlineStr">
        <is>
          <t>Tool</t>
        </is>
      </c>
      <c r="B4" s="6" t="inlineStr">
        <is>
          <t>Week introduced</t>
        </is>
      </c>
      <c r="C4" s="6" t="inlineStr">
        <is>
          <t>What problem does this tool solve?</t>
        </is>
      </c>
      <c r="D4" s="6" t="inlineStr">
        <is>
          <t>First use in class</t>
        </is>
      </c>
      <c r="E4" s="6" t="inlineStr">
        <is>
          <t>Notes and cautions</t>
        </is>
      </c>
    </row>
    <row r="5" ht="34" customHeight="1">
      <c r="A5" s="10" t="inlineStr">
        <is>
          <t>GitHub / Kaggle accounts</t>
        </is>
      </c>
      <c r="B5" s="29" t="n">
        <v>1</v>
      </c>
      <c r="C5" s="11" t="inlineStr">
        <is>
          <t>Where will my work live, and where will I find data?</t>
        </is>
      </c>
      <c r="D5" s="11" t="inlineStr">
        <is>
          <t>Account creation only</t>
        </is>
      </c>
      <c r="E5" s="11" t="inlineStr">
        <is>
          <t>No installation in Week 1 - nobody is blocked by hardware on day one.</t>
        </is>
      </c>
    </row>
    <row r="6" ht="34" customHeight="1">
      <c r="A6" s="12" t="inlineStr">
        <is>
          <t>Git &amp; GitHub</t>
        </is>
      </c>
      <c r="B6" s="30" t="n">
        <v>2</v>
      </c>
      <c r="C6" s="13" t="inlineStr">
        <is>
          <t>How do I keep versions, and prove who did what?</t>
        </is>
      </c>
      <c r="D6" s="13" t="inlineStr">
        <is>
          <t>First commit and push</t>
        </is>
      </c>
      <c r="E6" s="13" t="inlineStr">
        <is>
          <t>Commit early and often; branches deferred to Week 11 where they have an obvious purpose.</t>
        </is>
      </c>
    </row>
    <row r="7" ht="34" customHeight="1">
      <c r="A7" s="10" t="inlineStr">
        <is>
          <t>Jupyter Notebook</t>
        </is>
      </c>
      <c r="B7" s="29" t="n">
        <v>2</v>
      </c>
      <c r="C7" s="11" t="inlineStr">
        <is>
          <t>Where can I experiment with data and see results immediately?</t>
        </is>
      </c>
      <c r="D7" s="11" t="inlineStr">
        <is>
          <t>First notebook</t>
        </is>
      </c>
      <c r="E7" s="11" t="inlineStr">
        <is>
          <t>Teach the out-of-order-cell trap deliberately in Week 2, not accidentally in Week 14.</t>
        </is>
      </c>
    </row>
    <row r="8" ht="34" customHeight="1">
      <c r="A8" s="12" t="inlineStr">
        <is>
          <t>Python 3.11+ &amp; pip</t>
        </is>
      </c>
      <c r="B8" s="30" t="n">
        <v>2</v>
      </c>
      <c r="C8" s="13" t="inlineStr">
        <is>
          <t>What actually runs my instructions?</t>
        </is>
      </c>
      <c r="D8" s="13" t="inlineStr">
        <is>
          <t>hello_engineering.py</t>
        </is>
      </c>
      <c r="E8" s="13" t="inlineStr">
        <is>
          <t>Offline installers mandatory. Colab is the declared fallback.</t>
        </is>
      </c>
    </row>
    <row r="9" ht="34" customHeight="1">
      <c r="A9" s="10" t="inlineStr">
        <is>
          <t>Terminal / command line</t>
        </is>
      </c>
      <c r="B9" s="29" t="n">
        <v>2</v>
      </c>
      <c r="C9" s="11" t="inlineStr">
        <is>
          <t>How do I tell the computer where things are?</t>
        </is>
      </c>
      <c r="D9" s="11" t="inlineStr">
        <is>
          <t>pwd, ls, cd, mkdir</t>
        </is>
      </c>
      <c r="E9" s="11" t="inlineStr">
        <is>
          <t>Four commands only. Resist the temptation to teach shell scripting.</t>
        </is>
      </c>
    </row>
    <row r="10" ht="34" customHeight="1">
      <c r="A10" s="12" t="inlineStr">
        <is>
          <t>VS Code + Python/Jupyter extensions</t>
        </is>
      </c>
      <c r="B10" s="30" t="n">
        <v>2</v>
      </c>
      <c r="C10" s="13" t="inlineStr">
        <is>
          <t>Where do I write, run and debug real code?</t>
        </is>
      </c>
      <c r="D10" s="13" t="inlineStr">
        <is>
          <t>First script</t>
        </is>
      </c>
      <c r="E10" s="13" t="inlineStr">
        <is>
          <t>Pre-install extensions on lab machines; they are a large download.</t>
        </is>
      </c>
    </row>
    <row r="11" ht="34" customHeight="1">
      <c r="A11" s="10" t="inlineStr">
        <is>
          <t>AI coding assistant</t>
        </is>
      </c>
      <c r="B11" s="29" t="n">
        <v>3</v>
      </c>
      <c r="C11" s="11" t="inlineStr">
        <is>
          <t>How do I get unstuck without outsourcing my thinking?</t>
        </is>
      </c>
      <c r="D11" s="11" t="inlineStr">
        <is>
          <t>Explaining an error message</t>
        </is>
      </c>
      <c r="E11" s="11" t="inlineStr">
        <is>
          <t>Introduced in stages: explain an error (W3) -&gt; compare approaches (W6) -&gt; audit my pipeline for leakage (W10) -&gt; permitted with a log in the W12 challenge and in projects. Prohibited in both tests.</t>
        </is>
      </c>
    </row>
    <row r="12" ht="34" customHeight="1">
      <c r="A12" s="12" t="inlineStr">
        <is>
          <t>VS Code debugger</t>
        </is>
      </c>
      <c r="B12" s="30" t="n">
        <v>3</v>
      </c>
      <c r="C12" s="13" t="inlineStr">
        <is>
          <t>How do I find out what my code is actually doing?</t>
        </is>
      </c>
      <c r="D12" s="13" t="inlineStr">
        <is>
          <t>Stepping through a function</t>
        </is>
      </c>
      <c r="E12" s="13" t="inlineStr">
        <is>
          <t>Rehearse the demo. A fumbled debugger demo puts students off it permanently.</t>
        </is>
      </c>
    </row>
    <row r="13" ht="34" customHeight="1">
      <c r="A13" s="10" t="inlineStr">
        <is>
          <t>csv module &amp; open()</t>
        </is>
      </c>
      <c r="B13" s="29" t="n">
        <v>4</v>
      </c>
      <c r="C13" s="11" t="inlineStr">
        <is>
          <t>How do I read a file at all?</t>
        </is>
      </c>
      <c r="D13" s="11" t="inlineStr">
        <is>
          <t>Reading Report script</t>
        </is>
      </c>
      <c r="E13" s="11" t="inlineStr">
        <is>
          <t>Deliberately the hard way, so pandas is earned in Week 5.</t>
        </is>
      </c>
    </row>
    <row r="14" ht="34" customHeight="1">
      <c r="A14" s="12" t="inlineStr">
        <is>
          <t>Kaggle &amp; UCI repository</t>
        </is>
      </c>
      <c r="B14" s="30" t="n">
        <v>5</v>
      </c>
      <c r="C14" s="13" t="inlineStr">
        <is>
          <t>Where do I find data, and how do I judge whether I should trust it?</t>
        </is>
      </c>
      <c r="D14" s="13" t="inlineStr">
        <is>
          <t>Data Analysis Project dataset selection</t>
        </is>
      </c>
      <c r="E14" s="13" t="inlineStr">
        <is>
          <t>Teach the dataset card, the licence and provenance - not just the download button.</t>
        </is>
      </c>
    </row>
    <row r="15" ht="34" customHeight="1">
      <c r="A15" s="10" t="inlineStr">
        <is>
          <t>NumPy</t>
        </is>
      </c>
      <c r="B15" s="29" t="n">
        <v>5</v>
      </c>
      <c r="C15" s="11" t="inlineStr">
        <is>
          <t>How do I do arithmetic on thousands of measurements at once?</t>
        </is>
      </c>
      <c r="D15" s="11" t="inlineStr">
        <is>
          <t>Vectorised operations</t>
        </is>
      </c>
      <c r="E15" s="11" t="inlineStr">
        <is>
          <t>Keep it light: arrays and elementwise maths. Broadcasting is a footnote.</t>
        </is>
      </c>
    </row>
    <row r="16" ht="34" customHeight="1">
      <c r="A16" s="12" t="inlineStr">
        <is>
          <t>pandas</t>
        </is>
      </c>
      <c r="B16" s="30" t="n">
        <v>5</v>
      </c>
      <c r="C16" s="13" t="inlineStr">
        <is>
          <t>How do I work with a table of engineering data?</t>
        </is>
      </c>
      <c r="D16" s="13" t="inlineStr">
        <is>
          <t>Twelve Questions notebook</t>
        </is>
      </c>
      <c r="E16" s="13" t="inlineStr">
        <is>
          <t>The single most important tool of the semester. Budget generously.</t>
        </is>
      </c>
    </row>
    <row r="17" ht="34" customHeight="1">
      <c r="A17" s="10" t="inlineStr">
        <is>
          <t>matplotlib</t>
        </is>
      </c>
      <c r="B17" s="29" t="n">
        <v>6</v>
      </c>
      <c r="C17" s="11" t="inlineStr">
        <is>
          <t>How do I see my data?</t>
        </is>
      </c>
      <c r="D17" s="11" t="inlineStr">
        <is>
          <t>Histograms and scatter plots</t>
        </is>
      </c>
      <c r="E17" s="11" t="inlineStr">
        <is>
          <t>Figure/axes, labels, units, saving. Nothing more.</t>
        </is>
      </c>
    </row>
    <row r="18" ht="34" customHeight="1">
      <c r="A18" s="12" t="inlineStr">
        <is>
          <t>seaborn</t>
        </is>
      </c>
      <c r="B18" s="30" t="n">
        <v>6</v>
      </c>
      <c r="C18" s="13" t="inlineStr">
        <is>
          <t>How do I see it quickly and well?</t>
        </is>
      </c>
      <c r="D18" s="13" t="inlineStr">
        <is>
          <t>Box plots, heatmaps, pairplot</t>
        </is>
      </c>
      <c r="E18" s="13" t="inlineStr">
        <is>
          <t>Introduced after matplotlib so students know what it is wrapping.</t>
        </is>
      </c>
    </row>
    <row r="19" ht="34" customHeight="1">
      <c r="A19" s="10" t="inlineStr">
        <is>
          <t>scikit-learn (core)</t>
        </is>
      </c>
      <c r="B19" s="29" t="n">
        <v>8</v>
      </c>
      <c r="C19" s="11" t="inlineStr">
        <is>
          <t>How do I build a model that learns from examples?</t>
        </is>
      </c>
      <c r="D19" s="11" t="inlineStr">
        <is>
          <t>LinearRegression, train_test_split, metrics</t>
        </is>
      </c>
      <c r="E19" s="11" t="inlineStr">
        <is>
          <t>Name the fit/predict/score pattern explicitly - every later model reuses it.</t>
        </is>
      </c>
    </row>
    <row r="20" ht="34" customHeight="1">
      <c r="A20" s="12" t="inlineStr">
        <is>
          <t>scikit-learn (classifiers)</t>
        </is>
      </c>
      <c r="B20" s="30" t="n">
        <v>9</v>
      </c>
      <c r="C20" s="13" t="inlineStr">
        <is>
          <t>How do I get the machine to choose between categories?</t>
        </is>
      </c>
      <c r="D20" s="13" t="inlineStr">
        <is>
          <t>LogisticRegression, DecisionTree, RandomForest</t>
        </is>
      </c>
      <c r="E20" s="13" t="inlineStr">
        <is>
          <t>plot_tree is worth the time: a readable model is a teaching asset.</t>
        </is>
      </c>
    </row>
    <row r="21" ht="34" customHeight="1">
      <c r="A21" s="10" t="inlineStr">
        <is>
          <t>scikit-learn (validation)</t>
        </is>
      </c>
      <c r="B21" s="29" t="n">
        <v>10</v>
      </c>
      <c r="C21" s="11" t="inlineStr">
        <is>
          <t>How do I know whether to trust my own model?</t>
        </is>
      </c>
      <c r="D21" s="11" t="inlineStr">
        <is>
          <t>cross_val_score, validation_curve, Pipeline</t>
        </is>
      </c>
      <c r="E21" s="11" t="inlineStr">
        <is>
          <t>Pipeline is introduced as the structural fix for leakage, not as tidy code.</t>
        </is>
      </c>
    </row>
    <row r="22" ht="34" customHeight="1">
      <c r="A22" s="12" t="inlineStr">
        <is>
          <t>scikit-learn (preprocessing)</t>
        </is>
      </c>
      <c r="B22" s="30" t="n">
        <v>11</v>
      </c>
      <c r="C22" s="13" t="inlineStr">
        <is>
          <t>How do I feed the model what it can actually use?</t>
        </is>
      </c>
      <c r="D22" s="13" t="inlineStr">
        <is>
          <t>OneHotEncoder, StandardScaler, ColumnTransformer</t>
        </is>
      </c>
      <c r="E22" s="13" t="inlineStr">
        <is>
          <t>Always inside a Pipeline, from the first example, with no exceptions.</t>
        </is>
      </c>
    </row>
    <row r="23" ht="34" customHeight="1">
      <c r="A23" s="10" t="inlineStr">
        <is>
          <t>XGBoost / LightGBM</t>
        </is>
      </c>
      <c r="B23" s="29" t="n">
        <v>12</v>
      </c>
      <c r="C23" s="11" t="inlineStr">
        <is>
          <t>Is there something stronger?</t>
        </is>
      </c>
      <c r="D23" s="11" t="inlineStr">
        <is>
          <t>60-second demonstration only</t>
        </is>
      </c>
      <c r="E23" s="11" t="inlineStr">
        <is>
          <t>DEFERRED to Semester 2 by design, and the students are told why.</t>
        </is>
      </c>
    </row>
    <row r="24" ht="34" customHeight="1">
      <c r="A24" s="12" t="inlineStr">
        <is>
          <t>scikit-learn (search)</t>
        </is>
      </c>
      <c r="B24" s="30" t="n">
        <v>12</v>
      </c>
      <c r="C24" s="13" t="inlineStr">
        <is>
          <t>How do I choose between models fairly?</t>
        </is>
      </c>
      <c r="D24" s="13" t="inlineStr">
        <is>
          <t>GridSearchCV inside a Pipeline</t>
        </is>
      </c>
      <c r="E24" s="13" t="inlineStr">
        <is>
          <t>One worked example. The students do the rest unaided.</t>
        </is>
      </c>
    </row>
    <row r="25" ht="34" customHeight="1">
      <c r="A25" s="10" t="inlineStr">
        <is>
          <t>Streamlit</t>
        </is>
      </c>
      <c r="B25" s="29" t="n">
        <v>13</v>
      </c>
      <c r="C25" s="11" t="inlineStr">
        <is>
          <t>How do I turn a model into something a colleague can use?</t>
        </is>
      </c>
      <c r="D25" s="11" t="inlineStr">
        <is>
          <t>3-minute teaser</t>
        </is>
      </c>
      <c r="E25" s="11" t="inlineStr">
        <is>
          <t>Semester 2 destination. Mentioned to create appetite, not taught.</t>
        </is>
      </c>
    </row>
    <row r="26" ht="34" customHeight="1">
      <c r="A26" s="12" t="inlineStr">
        <is>
          <t>requirements.txt / environment capture</t>
        </is>
      </c>
      <c r="B26" s="30" t="n">
        <v>13</v>
      </c>
      <c r="C26" s="13" t="inlineStr">
        <is>
          <t>How does someone else run my work next year?</t>
        </is>
      </c>
      <c r="D26" s="13" t="inlineStr">
        <is>
          <t>Repository freeze</t>
        </is>
      </c>
      <c r="E26" s="13" t="inlineStr">
        <is>
          <t>Paired with restart-and-run-all as the acceptance test.</t>
        </is>
      </c>
    </row>
    <row r="28" ht="40" customHeight="1">
      <c r="A28" s="20" t="inlineStr">
        <is>
          <t>Deliberately NOT in Semester 1: deep learning, PyTorch, OpenCV, transfer learning, time-series forecasting, RAG, agents, MLOps, FastAPI, cloud deployment. All are Semester 2. Students are told this explicitly and told why: a beginner who meets ten tools learns none of them.</t>
        </is>
      </c>
    </row>
  </sheetData>
  <mergeCells count="3">
    <mergeCell ref="A2:E2"/>
    <mergeCell ref="A1:E1"/>
    <mergeCell ref="A28:E28"/>
  </mergeCells>
  <pageMargins left="0.75" right="0.75" top="1" bottom="1" header="0.5" footer="0.5"/>
</worksheet>
</file>

<file path=xl/worksheets/sheet11.xml><?xml version="1.0" encoding="utf-8"?>
<worksheet xmlns="http://schemas.openxmlformats.org/spreadsheetml/2006/main">
  <sheetPr>
    <tabColor rgb="00BF8F00"/>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44" customWidth="1" min="3" max="3"/>
    <col width="26" customWidth="1" min="4" max="4"/>
    <col width="42" customWidth="1" min="5" max="5"/>
    <col width="42" customWidth="1" min="6" max="6"/>
    <col width="16" customWidth="1" min="7" max="7"/>
    <col width="22" customWidth="1" min="8" max="8"/>
  </cols>
  <sheetData>
    <row r="1" ht="26" customHeight="1">
      <c r="A1" s="1" t="inlineStr">
        <is>
          <t>Dataset register</t>
        </is>
      </c>
    </row>
    <row r="2" ht="18" customHeight="1">
      <c r="A2" s="2" t="inlineStr">
        <is>
          <t>Stage every dataset on the local share at the start of the semester. Never fetch live in class.</t>
        </is>
      </c>
    </row>
    <row r="4" ht="32" customHeight="1">
      <c r="A4" s="6" t="inlineStr">
        <is>
          <t>Dataset</t>
        </is>
      </c>
      <c r="B4" s="6" t="inlineStr">
        <is>
          <t>Cohort(s)</t>
        </is>
      </c>
      <c r="C4" s="6" t="inlineStr">
        <is>
          <t>Host / identifier</t>
        </is>
      </c>
      <c r="D4" s="6" t="inlineStr">
        <is>
          <t>Licence</t>
        </is>
      </c>
      <c r="E4" s="6" t="inlineStr">
        <is>
          <t>Size</t>
        </is>
      </c>
      <c r="F4" s="6" t="inlineStr">
        <is>
          <t>Task</t>
        </is>
      </c>
      <c r="G4" s="6" t="inlineStr">
        <is>
          <t>Weeks used</t>
        </is>
      </c>
      <c r="H4" s="6" t="inlineStr">
        <is>
          <t>Status</t>
        </is>
      </c>
    </row>
    <row r="5" ht="32" customHeight="1">
      <c r="A5" s="7" t="inlineStr">
        <is>
          <t>Concrete Compressive Strength</t>
        </is>
      </c>
      <c r="B5" s="31" t="inlineStr">
        <is>
          <t>A</t>
        </is>
      </c>
      <c r="C5" s="8" t="inlineStr">
        <is>
          <t>UCI ML Repository, dataset 165 (doi 10.24432/C5PK67)</t>
        </is>
      </c>
      <c r="D5" s="8" t="inlineStr">
        <is>
          <t>CC BY 4.0</t>
        </is>
      </c>
      <c r="E5" s="8" t="inlineStr">
        <is>
          <t>1,030 rows x 9 cols</t>
        </is>
      </c>
      <c r="F5" s="8" t="inlineStr">
        <is>
          <t>Regression - strength in MPa</t>
        </is>
      </c>
      <c r="G5" s="31" t="inlineStr">
        <is>
          <t>1, 5, 6, 8, 11</t>
        </is>
      </c>
      <c r="H5" s="8" t="inlineStr">
        <is>
          <t>VERIFIED 2026-09-01</t>
        </is>
      </c>
    </row>
    <row r="6" ht="32" customHeight="1">
      <c r="A6" s="7" t="inlineStr">
        <is>
          <t>Energy Efficiency (Tsanas &amp; Xifara)</t>
        </is>
      </c>
      <c r="B6" s="31" t="inlineStr">
        <is>
          <t>A</t>
        </is>
      </c>
      <c r="C6" s="8" t="inlineStr">
        <is>
          <t>UCI ML Repository, dataset 242 (doi 10.24432/C51307)</t>
        </is>
      </c>
      <c r="D6" s="8" t="inlineStr">
        <is>
          <t>CC BY 4.0</t>
        </is>
      </c>
      <c r="E6" s="8" t="inlineStr">
        <is>
          <t>768 rows x 8 features, 2 targets</t>
        </is>
      </c>
      <c r="F6" s="8" t="inlineStr">
        <is>
          <t>Regression - heating &amp; cooling load</t>
        </is>
      </c>
      <c r="G6" s="31" t="inlineStr">
        <is>
          <t>5, 6, 8, 11</t>
        </is>
      </c>
      <c r="H6" s="8" t="inlineStr">
        <is>
          <t>VERIFIED 2026-09-01</t>
        </is>
      </c>
    </row>
    <row r="7" ht="32" customHeight="1">
      <c r="A7" s="15" t="inlineStr">
        <is>
          <t>Concrete Slump Test</t>
        </is>
      </c>
      <c r="B7" s="32" t="inlineStr">
        <is>
          <t>A</t>
        </is>
      </c>
      <c r="C7" s="16" t="inlineStr">
        <is>
          <t>UCI ML Repository, dataset 182</t>
        </is>
      </c>
      <c r="D7" s="16" t="inlineStr">
        <is>
          <t>Check on the dataset page</t>
        </is>
      </c>
      <c r="E7" s="16" t="inlineStr">
        <is>
          <t>~103 rows</t>
        </is>
      </c>
      <c r="F7" s="16" t="inlineStr">
        <is>
          <t>Regression</t>
        </is>
      </c>
      <c r="G7" s="32" t="inlineStr">
        <is>
          <t>7 (test variant)</t>
        </is>
      </c>
      <c r="H7" s="16" t="inlineStr">
        <is>
          <t>VERIFY BEFORE USE</t>
        </is>
      </c>
    </row>
    <row r="8" ht="32" customHeight="1">
      <c r="A8" s="15" t="inlineStr">
        <is>
          <t>Appliances Energy Prediction</t>
        </is>
      </c>
      <c r="B8" s="32" t="inlineStr">
        <is>
          <t>A</t>
        </is>
      </c>
      <c r="C8" s="16" t="inlineStr">
        <is>
          <t>UCI ML Repository, dataset 374</t>
        </is>
      </c>
      <c r="D8" s="16" t="inlineStr">
        <is>
          <t>Check on the dataset page</t>
        </is>
      </c>
      <c r="E8" s="16" t="inlineStr">
        <is>
          <t>~19,735 rows</t>
        </is>
      </c>
      <c r="F8" s="16" t="inlineStr">
        <is>
          <t>Regression / time series</t>
        </is>
      </c>
      <c r="G8" s="32" t="inlineStr">
        <is>
          <t>Project pool; Semester 2</t>
        </is>
      </c>
      <c r="H8" s="16" t="inlineStr">
        <is>
          <t>VERIFY BEFORE USE</t>
        </is>
      </c>
    </row>
    <row r="9" ht="32" customHeight="1">
      <c r="A9" s="15" t="inlineStr">
        <is>
          <t>Occupancy Detection</t>
        </is>
      </c>
      <c r="B9" s="32" t="inlineStr">
        <is>
          <t>A</t>
        </is>
      </c>
      <c r="C9" s="16" t="inlineStr">
        <is>
          <t>UCI ML Repository, dataset 357</t>
        </is>
      </c>
      <c r="D9" s="16" t="inlineStr">
        <is>
          <t>Check on the dataset page</t>
        </is>
      </c>
      <c r="E9" s="16" t="inlineStr">
        <is>
          <t>~20,560 rows</t>
        </is>
      </c>
      <c r="F9" s="16" t="inlineStr">
        <is>
          <t>Classification - sensors in a room</t>
        </is>
      </c>
      <c r="G9" s="32" t="inlineStr">
        <is>
          <t>Project pool</t>
        </is>
      </c>
      <c r="H9" s="16" t="inlineStr">
        <is>
          <t>VERIFY BEFORE USE</t>
        </is>
      </c>
    </row>
    <row r="10" ht="32" customHeight="1">
      <c r="A10" s="7" t="inlineStr">
        <is>
          <t>Quality Prediction in a Mining Process (froth flotation)</t>
        </is>
      </c>
      <c r="B10" s="31" t="inlineStr">
        <is>
          <t>B</t>
        </is>
      </c>
      <c r="C10" s="8" t="inlineStr">
        <is>
          <t>Kaggle - edumagalhaes/quality-prediction-in-a-mining-process</t>
        </is>
      </c>
      <c r="D10" s="8" t="inlineStr">
        <is>
          <t>Check the Kaggle dataset page</t>
        </is>
      </c>
      <c r="E10" s="8" t="inlineStr">
        <is>
          <t>~737,453 rows x 24 cols - MUST BE SUBSET to ~20,000 for teaching</t>
        </is>
      </c>
      <c r="F10" s="8" t="inlineStr">
        <is>
          <t>Regression - % silica in concentrate</t>
        </is>
      </c>
      <c r="G10" s="31" t="inlineStr">
        <is>
          <t>1, 5, 6, 8, 11</t>
        </is>
      </c>
      <c r="H10" s="8" t="inlineStr">
        <is>
          <t>VERIFIED 2026-09-01</t>
        </is>
      </c>
    </row>
    <row r="11" ht="32" customHeight="1">
      <c r="A11" s="7" t="inlineStr">
        <is>
          <t>FORCE 2020 well logs (lithology)</t>
        </is>
      </c>
      <c r="B11" s="31" t="inlineStr">
        <is>
          <t>B</t>
        </is>
      </c>
      <c r="C11" s="8" t="inlineStr">
        <is>
          <t>GitHub - bolgebrygg/Force-2020-Machine-Learning-competition</t>
        </is>
      </c>
      <c r="D11" s="8" t="inlineStr">
        <is>
          <t>Labels CC BY 4.0; log data NLOD 2.0</t>
        </is>
      </c>
      <c r="E11" s="8" t="inlineStr">
        <is>
          <t>118 wells - REDUCE to 3 wells for teaching</t>
        </is>
      </c>
      <c r="F11" s="8" t="inlineStr">
        <is>
          <t>Multi-class classification - lithofacies</t>
        </is>
      </c>
      <c r="G11" s="31" t="inlineStr">
        <is>
          <t>5, 9, 11, 12</t>
        </is>
      </c>
      <c r="H11" s="8" t="inlineStr">
        <is>
          <t>VERIFIED 2026-09-01</t>
        </is>
      </c>
    </row>
    <row r="12" ht="32" customHeight="1">
      <c r="A12" s="15" t="inlineStr">
        <is>
          <t>Volve field production data</t>
        </is>
      </c>
      <c r="B12" s="32" t="inlineStr">
        <is>
          <t>B</t>
        </is>
      </c>
      <c r="C12" s="16" t="inlineStr">
        <is>
          <t>Equinor open data</t>
        </is>
      </c>
      <c r="D12" s="16" t="inlineStr">
        <is>
          <t>Equinor open licence - read carefully</t>
        </is>
      </c>
      <c r="E12" s="16" t="inlineStr">
        <is>
          <t>Large</t>
        </is>
      </c>
      <c r="F12" s="16" t="inlineStr">
        <is>
          <t>Regression / time series</t>
        </is>
      </c>
      <c r="G12" s="32" t="inlineStr">
        <is>
          <t>Project pool; Semester 2</t>
        </is>
      </c>
      <c r="H12" s="16" t="inlineStr">
        <is>
          <t>VERIFY BEFORE USE</t>
        </is>
      </c>
    </row>
    <row r="13" ht="32" customHeight="1">
      <c r="A13" s="7" t="inlineStr">
        <is>
          <t>Combined Cycle Power Plant</t>
        </is>
      </c>
      <c r="B13" s="31" t="inlineStr">
        <is>
          <t>C</t>
        </is>
      </c>
      <c r="C13" s="8" t="inlineStr">
        <is>
          <t>UCI ML Repository, dataset 294</t>
        </is>
      </c>
      <c r="D13" s="8" t="inlineStr">
        <is>
          <t>CC BY 4.0 (confirm on page)</t>
        </is>
      </c>
      <c r="E13" s="8" t="inlineStr">
        <is>
          <t>9,568 rows x 4 features</t>
        </is>
      </c>
      <c r="F13" s="8" t="inlineStr">
        <is>
          <t>Regression - power output in MW</t>
        </is>
      </c>
      <c r="G13" s="31" t="inlineStr">
        <is>
          <t>1, 5, 6, 8, 11</t>
        </is>
      </c>
      <c r="H13" s="8" t="inlineStr">
        <is>
          <t>VERIFIED 2026-09-01</t>
        </is>
      </c>
    </row>
    <row r="14" ht="32" customHeight="1">
      <c r="A14" s="7" t="inlineStr">
        <is>
          <t>Steel Plates Faults</t>
        </is>
      </c>
      <c r="B14" s="31" t="inlineStr">
        <is>
          <t>C</t>
        </is>
      </c>
      <c r="C14" s="8" t="inlineStr">
        <is>
          <t>UCI ML Repository, dataset 198 (doi 10.24432/C5J88N)</t>
        </is>
      </c>
      <c r="D14" s="8" t="inlineStr">
        <is>
          <t>CC BY 4.0</t>
        </is>
      </c>
      <c r="E14" s="8" t="inlineStr">
        <is>
          <t>1,941 rows x 27 features, 7 classes</t>
        </is>
      </c>
      <c r="F14" s="8" t="inlineStr">
        <is>
          <t>Multi-class classification - defect type</t>
        </is>
      </c>
      <c r="G14" s="31" t="inlineStr">
        <is>
          <t>7, 9, 12</t>
        </is>
      </c>
      <c r="H14" s="8" t="inlineStr">
        <is>
          <t>VERIFIED 2026-09-01</t>
        </is>
      </c>
    </row>
    <row r="15" ht="32" customHeight="1">
      <c r="A15" s="15" t="inlineStr">
        <is>
          <t>Individual Household Electric Power Consumption</t>
        </is>
      </c>
      <c r="B15" s="32" t="inlineStr">
        <is>
          <t>C</t>
        </is>
      </c>
      <c r="C15" s="16" t="inlineStr">
        <is>
          <t>UCI ML Repository, dataset 235</t>
        </is>
      </c>
      <c r="D15" s="16" t="inlineStr">
        <is>
          <t>Check on the dataset page</t>
        </is>
      </c>
      <c r="E15" s="16" t="inlineStr">
        <is>
          <t>~2,075,259 rows - subset required</t>
        </is>
      </c>
      <c r="F15" s="16" t="inlineStr">
        <is>
          <t>Time series / forecasting</t>
        </is>
      </c>
      <c r="G15" s="32" t="inlineStr">
        <is>
          <t>Semester 2</t>
        </is>
      </c>
      <c r="H15" s="16" t="inlineStr">
        <is>
          <t>VERIFY BEFORE USE</t>
        </is>
      </c>
    </row>
    <row r="16" ht="32" customHeight="1">
      <c r="A16" s="15" t="inlineStr">
        <is>
          <t>Electrical Grid Stability Simulated Data</t>
        </is>
      </c>
      <c r="B16" s="32" t="inlineStr">
        <is>
          <t>C</t>
        </is>
      </c>
      <c r="C16" s="16" t="inlineStr">
        <is>
          <t>UCI ML Repository, dataset 471</t>
        </is>
      </c>
      <c r="D16" s="16" t="inlineStr">
        <is>
          <t>Check on the dataset page</t>
        </is>
      </c>
      <c r="E16" s="16" t="inlineStr">
        <is>
          <t>~10,000 rows</t>
        </is>
      </c>
      <c r="F16" s="16" t="inlineStr">
        <is>
          <t>Classification</t>
        </is>
      </c>
      <c r="G16" s="32" t="inlineStr">
        <is>
          <t>Project pool</t>
        </is>
      </c>
      <c r="H16" s="16" t="inlineStr">
        <is>
          <t>VERIFY BEFORE USE</t>
        </is>
      </c>
    </row>
    <row r="17" ht="32" customHeight="1">
      <c r="A17" s="7" t="inlineStr">
        <is>
          <t>AI4I 2020 Predictive Maintenance</t>
        </is>
      </c>
      <c r="B17" s="31" t="inlineStr">
        <is>
          <t>A, B, C</t>
        </is>
      </c>
      <c r="C17" s="8" t="inlineStr">
        <is>
          <t>UCI ML Repository, dataset 601 (doi 10.24432/C5HS5C)</t>
        </is>
      </c>
      <c r="D17" s="8" t="inlineStr">
        <is>
          <t>CC BY 4.0</t>
        </is>
      </c>
      <c r="E17" s="8" t="inlineStr">
        <is>
          <t>10,000 rows x 14 cols, 3.4% failure rate</t>
        </is>
      </c>
      <c r="F17" s="8" t="inlineStr">
        <is>
          <t>Classification - machine failure (naturally imbalanced)</t>
        </is>
      </c>
      <c r="G17" s="31" t="inlineStr">
        <is>
          <t>9 (all cohorts); 1 &amp; 5 &amp; 11 for C</t>
        </is>
      </c>
      <c r="H17" s="8" t="inlineStr">
        <is>
          <t>VERIFIED 2026-09-01</t>
        </is>
      </c>
    </row>
    <row r="18" ht="32" customHeight="1">
      <c r="A18" s="7" t="inlineStr">
        <is>
          <t>MetroPT-3</t>
        </is>
      </c>
      <c r="B18" s="31" t="inlineStr">
        <is>
          <t>B, C</t>
        </is>
      </c>
      <c r="C18" s="8" t="inlineStr">
        <is>
          <t>UCI ML Repository, dataset 791</t>
        </is>
      </c>
      <c r="D18" s="8" t="inlineStr">
        <is>
          <t>CC BY 4.0 (confirm on page)</t>
        </is>
      </c>
      <c r="E18" s="8" t="inlineStr">
        <is>
          <t>1,516,948 rows x 15 features - subset required</t>
        </is>
      </c>
      <c r="F18" s="8" t="inlineStr">
        <is>
          <t>Anomaly detection / predictive maintenance, real sensor time series</t>
        </is>
      </c>
      <c r="G18" s="31" t="inlineStr">
        <is>
          <t>12; Semester 2 core</t>
        </is>
      </c>
      <c r="H18" s="8" t="inlineStr">
        <is>
          <t>VERIFIED 2026-09-01</t>
        </is>
      </c>
    </row>
    <row r="19" ht="32" customHeight="1">
      <c r="A19" s="17" t="inlineStr">
        <is>
          <t>COURSE-AUTHORED: Investigation Lab file (~300 rows)</t>
        </is>
      </c>
      <c r="B19" s="33" t="inlineStr">
        <is>
          <t>A, B, C</t>
        </is>
      </c>
      <c r="C19" s="18" t="inlineStr">
        <is>
          <t>To be authored by the lecturer</t>
        </is>
      </c>
      <c r="D19" s="18" t="inlineStr">
        <is>
          <t>Course material</t>
        </is>
      </c>
      <c r="E19" s="18" t="inlineStr">
        <is>
          <t>~300 rows</t>
        </is>
      </c>
      <c r="F19" s="18" t="inlineStr">
        <is>
          <t>Open investigation - one planted finding, two red herrings</t>
        </is>
      </c>
      <c r="G19" s="33" t="inlineStr">
        <is>
          <t>4</t>
        </is>
      </c>
      <c r="H19" s="18" t="inlineStr">
        <is>
          <t>TO BE BUILT - Week 4 prep</t>
        </is>
      </c>
    </row>
    <row r="20" ht="32" customHeight="1">
      <c r="A20" s="17" t="inlineStr">
        <is>
          <t>COURSE-AUTHORED: damaged dataset + defect key</t>
        </is>
      </c>
      <c r="B20" s="33" t="inlineStr">
        <is>
          <t>A, B, C</t>
        </is>
      </c>
      <c r="C20" s="18" t="inlineStr">
        <is>
          <t>To be authored by the lecturer</t>
        </is>
      </c>
      <c r="D20" s="18" t="inlineStr">
        <is>
          <t>Course material</t>
        </is>
      </c>
      <c r="E20" s="18" t="inlineStr">
        <is>
          <t>Derived from the anchor dataset</t>
        </is>
      </c>
      <c r="F20" s="18" t="inlineStr">
        <is>
          <t>Cleaning practice - 6 planted defects, 2 arguable extremes</t>
        </is>
      </c>
      <c r="G20" s="33" t="inlineStr">
        <is>
          <t>6</t>
        </is>
      </c>
      <c r="H20" s="18" t="inlineStr">
        <is>
          <t>TO BE BUILT - Week 6 prep</t>
        </is>
      </c>
    </row>
    <row r="21" ht="32" customHeight="1">
      <c r="A21" s="17" t="inlineStr">
        <is>
          <t>COURSE-AUTHORED: 'Too Good To Be True' notebooks x3</t>
        </is>
      </c>
      <c r="B21" s="33" t="inlineStr">
        <is>
          <t>A, B, C</t>
        </is>
      </c>
      <c r="C21" s="18" t="inlineStr">
        <is>
          <t>To be authored by the lecturer</t>
        </is>
      </c>
      <c r="D21" s="18" t="inlineStr">
        <is>
          <t>Course material</t>
        </is>
      </c>
      <c r="E21" s="18" t="inlineStr">
        <is>
          <t>3 notebooks per cohort</t>
        </is>
      </c>
      <c r="F21" s="18" t="inlineStr">
        <is>
          <t>Leakage diagnosis - 3 different planted causes</t>
        </is>
      </c>
      <c r="G21" s="33" t="inlineStr">
        <is>
          <t>10</t>
        </is>
      </c>
      <c r="H21" s="18" t="inlineStr">
        <is>
          <t>TO BE BUILT - Week 10 prep</t>
        </is>
      </c>
    </row>
    <row r="22" ht="32" customHeight="1">
      <c r="A22" s="17" t="inlineStr">
        <is>
          <t>COURSE-AUTHORED: Test 1 variants x3</t>
        </is>
      </c>
      <c r="B22" s="33" t="inlineStr">
        <is>
          <t>A, B, C</t>
        </is>
      </c>
      <c r="C22" s="18" t="inlineStr">
        <is>
          <t>To be authored by the lecturer</t>
        </is>
      </c>
      <c r="D22" s="18" t="inlineStr">
        <is>
          <t>Course material - secure</t>
        </is>
      </c>
      <c r="E22" s="18" t="inlineStr">
        <is>
          <t>Matched for difficulty</t>
        </is>
      </c>
      <c r="F22" s="18" t="inlineStr">
        <is>
          <t>Practical Test 1</t>
        </is>
      </c>
      <c r="G22" s="33" t="inlineStr">
        <is>
          <t>7</t>
        </is>
      </c>
      <c r="H22" s="18" t="inlineStr">
        <is>
          <t>TO BE BUILT - by Week 5</t>
        </is>
      </c>
    </row>
    <row r="23" ht="32" customHeight="1">
      <c r="A23" s="17" t="inlineStr">
        <is>
          <t>COURSE-AUTHORED: Test 2 variants x3</t>
        </is>
      </c>
      <c r="B23" s="33" t="inlineStr">
        <is>
          <t>A, B, C</t>
        </is>
      </c>
      <c r="C23" s="18" t="inlineStr">
        <is>
          <t>To be authored by the lecturer</t>
        </is>
      </c>
      <c r="D23" s="18" t="inlineStr">
        <is>
          <t>Course material - secure</t>
        </is>
      </c>
      <c r="E23" s="18" t="inlineStr">
        <is>
          <t>Matched for difficulty</t>
        </is>
      </c>
      <c r="F23" s="18" t="inlineStr">
        <is>
          <t>Practical Test 2</t>
        </is>
      </c>
      <c r="G23" s="33" t="inlineStr">
        <is>
          <t>14</t>
        </is>
      </c>
      <c r="H23" s="18" t="inlineStr">
        <is>
          <t>TO BE BUILT - by Week 12</t>
        </is>
      </c>
    </row>
    <row r="25" ht="44" customHeight="1">
      <c r="A25" s="20" t="inlineStr">
        <is>
          <t>Status key:  green = existence and licence confirmed 1 Sep 2026 ·  amber = named from knowledge, NOT confirmed, verify before use ·  red = course material that does not exist yet and must be authored, with the week it is needed. The red rows are the real preparation workload of this semester and should be scheduled now.</t>
        </is>
      </c>
    </row>
  </sheetData>
  <mergeCells count="3">
    <mergeCell ref="A25:H25"/>
    <mergeCell ref="A2:H2"/>
    <mergeCell ref="A1:H1"/>
  </mergeCells>
  <pageMargins left="0.75" right="0.75" top="1" bottom="1" header="0.5" footer="0.5"/>
</worksheet>
</file>

<file path=xl/worksheets/sheet12.xml><?xml version="1.0" encoding="utf-8"?>
<worksheet xmlns="http://schemas.openxmlformats.org/spreadsheetml/2006/main">
  <sheetPr>
    <tabColor rgb="0000B050"/>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50" customWidth="1" min="2" max="2"/>
    <col width="44" customWidth="1" min="3" max="3"/>
    <col width="22" customWidth="1" min="4" max="4"/>
    <col width="56" customWidth="1" min="5" max="5"/>
    <col width="76" customWidth="1" min="6" max="6"/>
  </cols>
  <sheetData>
    <row r="1" ht="26" customHeight="1">
      <c r="A1" s="1" t="inlineStr">
        <is>
          <t>Assessment technology stack — five layers, all free</t>
        </is>
      </c>
    </row>
    <row r="2" ht="18" customHeight="1">
      <c r="A2" s="2" t="inlineStr">
        <is>
          <t>Built and tested. The working code is in the assessment-tools folder alongside this workbook.</t>
        </is>
      </c>
    </row>
    <row r="4" ht="32" customHeight="1">
      <c r="A4" s="6" t="inlineStr">
        <is>
          <t>Layer</t>
        </is>
      </c>
      <c r="B4" s="6" t="inlineStr">
        <is>
          <t>Purpose</t>
        </is>
      </c>
      <c r="C4" s="6" t="inlineStr">
        <is>
          <t>Tool</t>
        </is>
      </c>
      <c r="D4" s="6" t="inlineStr">
        <is>
          <t>Cost</t>
        </is>
      </c>
      <c r="E4" s="6" t="inlineStr">
        <is>
          <t>What it removes</t>
        </is>
      </c>
      <c r="F4" s="6" t="inlineStr">
        <is>
          <t>Verified limits and cautions</t>
        </is>
      </c>
    </row>
    <row r="5" ht="110" customHeight="1">
      <c r="A5" s="10" t="inlineStr">
        <is>
          <t>Layer A - Weekly quizzes</t>
        </is>
      </c>
      <c r="B5" s="11" t="inlineStr">
        <is>
          <t>Deliver a five-minute, five-question diagnostic quiz by QR at the end of every teaching session, auto-marked, score and teaching feedback released instantly to the student.</t>
        </is>
      </c>
      <c r="C5" s="11" t="inlineStr">
        <is>
          <t>Google Forms in quiz mode + Google Sheets (responses land automatically)</t>
        </is>
      </c>
      <c r="D5" s="11" t="inlineStr">
        <is>
          <t>Free on a personal Google account</t>
        </is>
      </c>
      <c r="E5" s="11" t="inlineStr">
        <is>
          <t>Adds 10% of continuous assessment at effectively ZERO marking cost per sitting. Authoring the question bank is the only cost, it is one-time, and it is reusable next year.</t>
        </is>
      </c>
      <c r="F5" s="11" t="inlineStr">
        <is>
          <t>VERIFIED CAUTION: Google Forms has no native timer - you open the form, then switch off 'Accepting responses' after 15 minutes, which is the reliable free method. It also CANNOT work offline, so a network failure costs you that sitting; see Risk R13. On a personal @gmail.com account you cannot restrict to one response per person, so collect the student number as a required first question and de-duplicate in Sheets.</t>
        </is>
      </c>
    </row>
    <row r="6" ht="110" customHeight="1">
      <c r="A6" s="12" t="inlineStr">
        <is>
          <t>Layer B - Notebook auto-grading</t>
        </is>
      </c>
      <c r="B6" s="13" t="inlineStr">
        <is>
          <t>Grade the weekly practical work. Students self-check against visible tests before submitting; the lecturer batch-grades all submissions against hidden tests in one command.</t>
        </is>
      </c>
      <c r="C6" s="13" t="inlineStr">
        <is>
          <t>assessment-tools/autograde.py - written for this course, Python standard library only</t>
        </is>
      </c>
      <c r="D6" s="13" t="inlineStr">
        <is>
          <t>Free. No Docker, no pip installs, no server, no GitHub Actions minutes.</t>
        </is>
      </c>
      <c r="E6" s="13" t="inlineStr">
        <is>
          <t>THIS IS THE LARGE SAVING: roughly 107 hours of weekly marking per semester falls to about 10 hours of spot checks. Tested at 195 notebooks in 63 seconds.</t>
        </is>
      </c>
      <c r="F6" s="13" t="inlineStr">
        <is>
          <t>Runs entirely offline, which is why it was written this way rather than using otter-grader (needs Docker for batch grading) or nbgrader (assumes JupyterHub). Cannot mark plots, prose or style - that is what the project and the viva are for. Marks depend on exact variable names, so every task sheet must state them.</t>
        </is>
      </c>
    </row>
    <row r="7" ht="110" customHeight="1">
      <c r="A7" s="10" t="inlineStr">
        <is>
          <t>Layer C - Auto-marked Part A of the two practical tests</t>
        </is>
      </c>
      <c r="B7" s="11" t="inlineStr">
        <is>
          <t>Students record Part A answers in a structured answers dictionary inside the test notebook. The same grader marks it offline after the sitting.</t>
        </is>
      </c>
      <c r="C7" s="11" t="inlineStr">
        <is>
          <t>assessment-tools/autograde.py with a test-specific spec</t>
        </is>
      </c>
      <c r="D7" s="11" t="inlineStr">
        <is>
          <t>Free</t>
        </is>
      </c>
      <c r="E7" s="11" t="inlineStr">
        <is>
          <t>Test marking falls from about 52 hours to about 32. Test 1 is 40 marks auto of 100; Test 2 is 45 of 100.</t>
        </is>
      </c>
      <c r="F7" s="11" t="inlineStr">
        <is>
          <t>DELIBERATE CAP: the auto-marked share is held below half on both tests. The reasoning and justification marks stay human, because those are the reason the tests exist. Do not let this share grow.</t>
        </is>
      </c>
    </row>
    <row r="8" ht="110" customHeight="1">
      <c r="A8" s="12" t="inlineStr">
        <is>
          <t>Layer D - Gradebook and student reports</t>
        </is>
      </c>
      <c r="B8" s="13" t="inlineStr">
        <is>
          <t>One sheet per cohort. Computes the weighted total, applies best-8-of-11 and best-10-of-12, flags missing submissions, and emails each student their current standing.</t>
        </is>
      </c>
      <c r="C8" s="13" t="inlineStr">
        <is>
          <t>assessment-tools/gradebook.gs - Google Apps Script on Google Sheets</t>
        </is>
      </c>
      <c r="D8" s="13" t="inlineStr">
        <is>
          <t>Free</t>
        </is>
      </c>
      <c r="E8" s="13" t="inlineStr">
        <is>
          <t>Removes the end-of-semester reconciliation scramble, and lets a student see their own standing without asking.</t>
        </is>
      </c>
      <c r="F8" s="13" t="inlineStr">
        <is>
          <t>VERIFIED LIMIT: a free @gmail.com account can send to only about 100 recipients per day, so a 195-student mail-out must run over two days - the script checkpoints and resumes. Apps Script also caps a single execution at 6 minutes. The grade bands in the script are a PLACEHOLDER and must be set against IUEA regulations.</t>
        </is>
      </c>
    </row>
    <row r="9" ht="110" customHeight="1">
      <c r="A9" s="10" t="inlineStr">
        <is>
          <t>Layer E - Submission collection</t>
        </is>
      </c>
      <c r="B9" s="11" t="inlineStr">
        <is>
          <t>Pull every student's repository for a given week into one folder, logging failures rather than stopping.</t>
        </is>
      </c>
      <c r="C9" s="11" t="inlineStr">
        <is>
          <t>assessment-tools/pull_submissions.sh + a roster CSV; Git and GitHub, already taught in Week 2</t>
        </is>
      </c>
      <c r="D9" s="11" t="inlineStr">
        <is>
          <t>Free</t>
        </is>
      </c>
      <c r="E9" s="11" t="inlineStr">
        <is>
          <t>Makes the weekly grading run a single command, and reinforces the version control the course teaches anyway.</t>
        </is>
      </c>
      <c r="F9" s="11" t="inlineStr">
        <is>
          <t>Needs the roster of GitHub usernames, which is collected with assignment A2 in Week 2. A student who renames their repository breaks their own pull - state the required repository name in the task sheet.</t>
        </is>
      </c>
    </row>
    <row r="10" ht="110" customHeight="1">
      <c r="A10" s="17" t="inlineStr">
        <is>
          <t>What is NOT being built</t>
        </is>
      </c>
      <c r="B10" s="18" t="inlineStr">
        <is>
          <t>A custom web application, a self-hosted quiz server, a mobile app, or a plagiarism detector.</t>
        </is>
      </c>
      <c r="C10" s="18" t="inlineStr">
        <is>
          <t>-</t>
        </is>
      </c>
      <c r="D10" s="18" t="inlineStr">
        <is>
          <t>-</t>
        </is>
      </c>
      <c r="E10" s="18" t="inlineStr">
        <is>
          <t>-</t>
        </is>
      </c>
      <c r="F10" s="18" t="inlineStr">
        <is>
          <t>DELIBERATE. Building a web app while teaching 9 hours a week and authoring 18 test datasets is how the semester fails. Note also that nothing in this stack detects plagiarism: with shared wifi, near-identical notebooks will happen, and only the viva and the offline tests will catch it. A student-facing dashboard would make a good Semester 2 capstone project - which is a better use of it than lecturer time now.</t>
        </is>
      </c>
    </row>
    <row r="12" ht="46" customHeight="1">
      <c r="A12" s="20" t="inlineStr">
        <is>
          <t>Design principle: auto-grading is used on the HIGH-VOLUME, LOW-STAKES work, and human marking is concentrated on the reasoning. Machine-marked marks total 35% of the course (quizzes 10, challenges 10, 40% of Test 1, 45% of Test 2), and that share is capped deliberately. The 25% project, the 10% viva and the reasoning halves of both tests — 65% of the course — assess engineering judgement, and no auto-grader can read them.</t>
        </is>
      </c>
    </row>
  </sheetData>
  <mergeCells count="3">
    <mergeCell ref="A2:F2"/>
    <mergeCell ref="A1:F1"/>
    <mergeCell ref="A12:F12"/>
  </mergeCells>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F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30" customWidth="1" min="2" max="2"/>
    <col width="12" customWidth="1" min="3" max="3"/>
    <col width="18" customWidth="1" min="4" max="4"/>
    <col width="18" customWidth="1" min="5" max="5"/>
    <col width="76" customWidth="1" min="6" max="6"/>
  </cols>
  <sheetData>
    <row r="1" ht="26" customHeight="1">
      <c r="A1" s="1" t="inlineStr">
        <is>
          <t>Marking load — fully human versus the auto-graded stack</t>
        </is>
      </c>
    </row>
    <row r="2" ht="18" customHeight="1">
      <c r="A2" s="2" t="inlineStr">
        <is>
          <t>Per semester, at ~195 students and 43 teams. This is the answer to 'can one lecturer assess 195 students?'</t>
        </is>
      </c>
    </row>
    <row r="4" ht="32" customHeight="1">
      <c r="A4" s="6" t="inlineStr">
        <is>
          <t>Item</t>
        </is>
      </c>
      <c r="B4" s="6" t="inlineStr">
        <is>
          <t>Volume</t>
        </is>
      </c>
      <c r="C4" s="6" t="inlineStr">
        <is>
          <t>Min. each</t>
        </is>
      </c>
      <c r="D4" s="6" t="inlineStr">
        <is>
          <t>Hours if all human</t>
        </is>
      </c>
      <c r="E4" s="6" t="inlineStr">
        <is>
          <t>Hours with the stack</t>
        </is>
      </c>
      <c r="F4" s="6" t="inlineStr">
        <is>
          <t>How the saving is made</t>
        </is>
      </c>
    </row>
    <row r="5" ht="34" customHeight="1">
      <c r="A5" s="7" t="inlineStr">
        <is>
          <t>Weekly practical challenges</t>
        </is>
      </c>
      <c r="B5" s="8" t="inlineStr">
        <is>
          <t>11 x ~195 = ~2,145 items</t>
        </is>
      </c>
      <c r="C5" s="31" t="inlineStr">
        <is>
          <t>3</t>
        </is>
      </c>
      <c r="D5" s="31" t="n">
        <v>107</v>
      </c>
      <c r="E5" s="31" t="n">
        <v>10</v>
      </c>
      <c r="F5" s="8" t="inlineStr">
        <is>
          <t>Auto-graded by Layer B. Human time is spot checks and flagged scripts only.</t>
        </is>
      </c>
    </row>
    <row r="6" ht="34" customHeight="1">
      <c r="A6" s="12" t="inlineStr">
        <is>
          <t>Weekly quizzes (NEW)</t>
        </is>
      </c>
      <c r="B6" s="13" t="inlineStr">
        <is>
          <t>12 x ~195 = ~2,340 sittings</t>
        </is>
      </c>
      <c r="C6" s="30" t="inlineStr">
        <is>
          <t>0</t>
        </is>
      </c>
      <c r="D6" s="30" t="n">
        <v>0</v>
      </c>
      <c r="E6" s="30" t="n">
        <v>0</v>
      </c>
      <c r="F6" s="13" t="inlineStr">
        <is>
          <t>Machine-scored on submission. Adds 10% of assessment at no marking cost.</t>
        </is>
      </c>
    </row>
    <row r="7" ht="34" customHeight="1">
      <c r="A7" s="7" t="inlineStr">
        <is>
          <t>Practical Test 1</t>
        </is>
      </c>
      <c r="B7" s="8" t="inlineStr">
        <is>
          <t>~195 scripts</t>
        </is>
      </c>
      <c r="C7" s="31" t="inlineStr">
        <is>
          <t>8 -&gt; 5</t>
        </is>
      </c>
      <c r="D7" s="31" t="n">
        <v>26</v>
      </c>
      <c r="E7" s="31" t="n">
        <v>16</v>
      </c>
      <c r="F7" s="8" t="inlineStr">
        <is>
          <t>40 of 100 marks auto-marked (Layer C); the reasoning section stays human.</t>
        </is>
      </c>
    </row>
    <row r="8" ht="34" customHeight="1">
      <c r="A8" s="7" t="inlineStr">
        <is>
          <t>Practical Test 2</t>
        </is>
      </c>
      <c r="B8" s="8" t="inlineStr">
        <is>
          <t>~195 scripts</t>
        </is>
      </c>
      <c r="C8" s="31" t="inlineStr">
        <is>
          <t>8 -&gt; 5</t>
        </is>
      </c>
      <c r="D8" s="31" t="n">
        <v>26</v>
      </c>
      <c r="E8" s="31" t="n">
        <v>16</v>
      </c>
      <c r="F8" s="8" t="inlineStr">
        <is>
          <t>45 of 100 marks auto-marked (Layer C); the reasoning section stays human.</t>
        </is>
      </c>
    </row>
    <row r="9" ht="34" customHeight="1">
      <c r="A9" s="10" t="inlineStr">
        <is>
          <t>Data Analysis Project</t>
        </is>
      </c>
      <c r="B9" s="11" t="inlineStr">
        <is>
          <t>43 teams</t>
        </is>
      </c>
      <c r="C9" s="29" t="inlineStr">
        <is>
          <t>25</t>
        </is>
      </c>
      <c r="D9" s="29" t="n">
        <v>18</v>
      </c>
      <c r="E9" s="29" t="n">
        <v>18</v>
      </c>
      <c r="F9" s="11" t="inlineStr">
        <is>
          <t>Irreducibly human.</t>
        </is>
      </c>
    </row>
    <row r="10" ht="34" customHeight="1">
      <c r="A10" s="12" t="inlineStr">
        <is>
          <t>Engineering ML Project + 4 milestones</t>
        </is>
      </c>
      <c r="B10" s="13" t="inlineStr">
        <is>
          <t>43 teams</t>
        </is>
      </c>
      <c r="C10" s="30" t="inlineStr">
        <is>
          <t>60</t>
        </is>
      </c>
      <c r="D10" s="30" t="n">
        <v>43</v>
      </c>
      <c r="E10" s="30" t="n">
        <v>43</v>
      </c>
      <c r="F10" s="13" t="inlineStr">
        <is>
          <t>Irreducibly human.</t>
        </is>
      </c>
    </row>
    <row r="11" ht="34" customHeight="1">
      <c r="A11" s="10" t="inlineStr">
        <is>
          <t>Demo, viva and reflection</t>
        </is>
      </c>
      <c r="B11" s="11" t="inlineStr">
        <is>
          <t>~195 students</t>
        </is>
      </c>
      <c r="C11" s="29" t="inlineStr">
        <is>
          <t>5</t>
        </is>
      </c>
      <c r="D11" s="29" t="n">
        <v>16</v>
      </c>
      <c r="E11" s="29" t="n">
        <v>16</v>
      </c>
      <c r="F11" s="11" t="inlineStr">
        <is>
          <t>Irreducibly human, and the point of it.</t>
        </is>
      </c>
    </row>
    <row r="12" ht="34" customHeight="1">
      <c r="A12" s="7" t="inlineStr">
        <is>
          <t>Gradebook reconciliation</t>
        </is>
      </c>
      <c r="B12" s="8" t="inlineStr">
        <is>
          <t>3 cohorts</t>
        </is>
      </c>
      <c r="C12" s="31" t="inlineStr">
        <is>
          <t>-</t>
        </is>
      </c>
      <c r="D12" s="31" t="n">
        <v>10</v>
      </c>
      <c r="E12" s="31" t="n">
        <v>1</v>
      </c>
      <c r="F12" s="8" t="inlineStr">
        <is>
          <t>Automated by Layer D.</t>
        </is>
      </c>
    </row>
    <row r="13" ht="20" customHeight="1">
      <c r="A13" s="23" t="inlineStr">
        <is>
          <t>TOTAL (hours per semester)</t>
        </is>
      </c>
      <c r="B13" s="24" t="inlineStr"/>
      <c r="C13" s="24" t="inlineStr"/>
      <c r="D13" s="23">
        <f>SUM(D5:D12)</f>
        <v/>
      </c>
      <c r="E13" s="23">
        <f>SUM(E5:E12)</f>
        <v/>
      </c>
      <c r="F13" s="24" t="inlineStr">
        <is>
          <t>Roughly 16 hours a week becomes roughly 8.</t>
        </is>
      </c>
    </row>
    <row r="14" ht="20" customHeight="1">
      <c r="A14" s="7" t="inlineStr">
        <is>
          <t>Hours saved per semester</t>
        </is>
      </c>
      <c r="B14" s="8" t="inlineStr"/>
      <c r="C14" s="8" t="inlineStr"/>
      <c r="D14" s="8" t="inlineStr"/>
      <c r="E14" s="7">
        <f>D13-E13</f>
        <v/>
      </c>
      <c r="F14" s="8" t="inlineStr">
        <is>
          <t>And the saving repeats every semester, while the authoring cost does not.</t>
        </is>
      </c>
    </row>
    <row r="16" ht="32" customHeight="1">
      <c r="A16" s="9" t="inlineStr">
        <is>
          <t>ONE-OFF AUTHORING COST: About 30 hours one-time: roughly 2 hours per weekly quiz bank (12 banks of five questions) plus about 5 hours to write the weekly test specs. Reusable in later years.</t>
        </is>
      </c>
    </row>
    <row r="18" ht="62" customHeight="1">
      <c r="A18" s="5" t="inlineStr">
        <is>
          <t>The honest reading of this sheet: the QR quizzes are NOT where the saving comes from — they cost nothing to mark, but they were never the problem. The problem was ~2,145 weekly practical submissions, and it is Layer B, the notebook auto-grader, that removes about 97 hours of it. The quizzes do something different and also valuable: they give students instant feedback, they give you a weekly engagement signal across ~195 students you cannot otherwise see, and they let assessment weight move away from work that is expensive to mark. Both are worth having. Only one of them fixes the workload.</t>
        </is>
      </c>
    </row>
  </sheetData>
  <mergeCells count="4">
    <mergeCell ref="A2:F2"/>
    <mergeCell ref="A16:F16"/>
    <mergeCell ref="A1:F1"/>
    <mergeCell ref="A18:F18"/>
  </mergeCells>
  <pageMargins left="0.75" right="0.75" top="1" bottom="1" header="0.5" footer="0.5"/>
</worksheet>
</file>

<file path=xl/worksheets/sheet14.xml><?xml version="1.0" encoding="utf-8"?>
<worksheet xmlns="http://schemas.openxmlformats.org/spreadsheetml/2006/main">
  <sheetPr>
    <tabColor rgb="00C00000"/>
    <outlinePr summaryBelow="1" summaryRight="1"/>
    <pageSetUpPr/>
  </sheetPr>
  <dimension ref="A1:F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62" customWidth="1" min="2" max="2"/>
    <col width="14" customWidth="1" min="3" max="3"/>
    <col width="12" customWidth="1" min="4" max="4"/>
    <col width="96" customWidth="1" min="5" max="5"/>
    <col width="26" customWidth="1" min="6" max="6"/>
  </cols>
  <sheetData>
    <row r="1" ht="26" customHeight="1">
      <c r="A1" s="1" t="inlineStr">
        <is>
          <t>Risk register</t>
        </is>
      </c>
    </row>
    <row r="2" ht="18" customHeight="1">
      <c r="A2" s="2" t="inlineStr">
        <is>
          <t>Twelve delivery risks. R1, R2 and R3 require action in the first fortnight.</t>
        </is>
      </c>
    </row>
    <row r="4" ht="32" customHeight="1">
      <c r="A4" s="6" t="inlineStr">
        <is>
          <t>ID</t>
        </is>
      </c>
      <c r="B4" s="6" t="inlineStr">
        <is>
          <t>Risk</t>
        </is>
      </c>
      <c r="C4" s="6" t="inlineStr">
        <is>
          <t>Likelihood</t>
        </is>
      </c>
      <c r="D4" s="6" t="inlineStr">
        <is>
          <t>Impact</t>
        </is>
      </c>
      <c r="E4" s="6" t="inlineStr">
        <is>
          <t>Mitigation</t>
        </is>
      </c>
      <c r="F4" s="6" t="inlineStr">
        <is>
          <t>Owner</t>
        </is>
      </c>
    </row>
    <row r="5" ht="72" customHeight="1">
      <c r="A5" s="17" t="inlineStr">
        <is>
          <t>R1</t>
        </is>
      </c>
      <c r="B5" s="18" t="inlineStr">
        <is>
          <t>Fri 09 Oct 2026 is Uganda Independence Day. CML3113 (Fri 08:00, Room 105) and CML3111 (Fri 11:00, Room 115) both lose their Week 5 session - the single most important pandas session of the semester. CML3112 (Tue, Room 106) is unaffected.</t>
        </is>
      </c>
      <c r="C5" s="33" t="inlineStr">
        <is>
          <t>Certain</t>
        </is>
      </c>
      <c r="D5" s="33" t="inlineStr">
        <is>
          <t>High</t>
        </is>
      </c>
      <c r="E5" s="18" t="inlineStr">
        <is>
          <t>Teach Week 5 to CML3112 on Tue 06 Oct as normal, and RECORD it - you then have a recording of the actual session rather than a generic one. Publish it plus the Twelve Questions notebook to CML3113 and CML3111 by Wed 07 Oct, hold a 45-minute online clinic that week, and open Week 6 with a 30-minute consolidation for the two Friday cohorts only. Alternatively secure a Faculty-approved make-up slot. Decide by Week 2 - not Week 4.</t>
        </is>
      </c>
      <c r="F5" s="18" t="inlineStr">
        <is>
          <t>Lecturer + Faculty timetabling</t>
        </is>
      </c>
    </row>
    <row r="6" ht="72" customHeight="1">
      <c r="A6" s="15" t="inlineStr">
        <is>
          <t>R16</t>
        </is>
      </c>
      <c r="B6" s="16" t="inlineStr">
        <is>
          <t>Friday is a six-hour back-to-back teaching day: CML3113 08:00-11:00 in Room 105, then CML3111 11:00-14:00 in Room 115, with no gap and a room change. Delivery quality in the second session will drop unless this is managed deliberately.</t>
        </is>
      </c>
      <c r="C6" s="32" t="inlineStr">
        <is>
          <t>Certain</t>
        </is>
      </c>
      <c r="D6" s="32" t="inlineStr">
        <is>
          <t>Medium</t>
        </is>
      </c>
      <c r="E6" s="16" t="inlineStr">
        <is>
          <t>Prepare both Friday sessions as ONE preparation - they share roughly 70% of content, so the second should need no new preparation, only a different dataset and framing. Set Room 115 up during the CML3113 practical rather than after the session ends. Keep water and lunch in the room. Put the most demanding challenge segment in the 08:00 session while you are fresh. If a session must be shortened, shorten the 11:00 one and recover it the following week - never the 08:00 one, because CML3113 has no other slot that week.</t>
        </is>
      </c>
      <c r="F6" s="16" t="inlineStr">
        <is>
          <t>Lecturer</t>
        </is>
      </c>
    </row>
    <row r="7" ht="72" customHeight="1">
      <c r="A7" s="17" t="inlineStr">
        <is>
          <t>R17</t>
        </is>
      </c>
      <c r="B7" s="18" t="inlineStr">
        <is>
          <t>Room capacity, power and wifi. Room 106 must seat and power CML3112's ~100 students. Because the course now runs in Google Colab, Room 106's wifi must carry ~100 simultaneous browser sessions - that is the new single point of failure, and it did not exist under the old install-based plan.</t>
        </is>
      </c>
      <c r="C7" s="33" t="inlineStr">
        <is>
          <t>Likely</t>
        </is>
      </c>
      <c r="D7" s="33" t="inlineStr">
        <is>
          <t>High</t>
        </is>
      </c>
      <c r="E7" s="18" t="inlineStr">
        <is>
          <t>Confirm in writing in Week 1: seat count and working socket count in Room 106; wifi capacity and access-point count for ~100 concurrent sessions; and whether the Week 7 and Week 14 offline practical tests can be sat in Room 106 or need a computer laboratory. If wifi cannot carry the room, the fallback is to split Colab use across the session rather than having all 100 students connect at once, and to keep the offline notebook route alive for Room 106 only.</t>
        </is>
      </c>
      <c r="F7" s="18" t="inlineStr">
        <is>
          <t>Lecturer + Faculty</t>
        </is>
      </c>
    </row>
    <row r="8" ht="72" customHeight="1">
      <c r="A8" s="10" t="inlineStr">
        <is>
          <t>R18</t>
        </is>
      </c>
      <c r="B8" s="11" t="inlineStr">
        <is>
          <t>CML3113 starts at 08:00 on a Friday. Attendance and alertness in the first fifteen minutes will be poor, and the cohort has no other slot that week.</t>
        </is>
      </c>
      <c r="C8" s="29" t="inlineStr">
        <is>
          <t>Likely</t>
        </is>
      </c>
      <c r="D8" s="29" t="inlineStr">
        <is>
          <t>Low</t>
        </is>
      </c>
      <c r="E8" s="11" t="inlineStr">
        <is>
          <t>Put nothing assessed and nothing load-bearing in the first fifteen minutes. Open with the recap and the session map, and start the checkpoint or any graded activity no earlier than 08:20. The quiz sits in the last five minutes of the session, which for this cohort is 10:55 and works well. Do not move it to the start of the session for the sake of the early hour.</t>
        </is>
      </c>
      <c r="F8" s="11" t="inlineStr">
        <is>
          <t>Lecturer</t>
        </is>
      </c>
    </row>
    <row r="9" ht="72" customHeight="1">
      <c r="A9" s="17" t="inlineStr">
        <is>
          <t>R2</t>
        </is>
      </c>
      <c r="B9" s="18" t="inlineStr">
        <is>
          <t>Cohort A (~100 students) exceeds the capacity of one computer lab, making the Week 7 and Week 14 practical tests unrunnable in a single sitting.</t>
        </is>
      </c>
      <c r="C9" s="33" t="inlineStr">
        <is>
          <t>Likely</t>
        </is>
      </c>
      <c r="D9" s="33" t="inlineStr">
        <is>
          <t>High</t>
        </is>
      </c>
      <c r="E9" s="18" t="inlineStr">
        <is>
          <t>Run the laptop-access survey in Week 1. Escalate to the Faculty in Week 1 with a written capacity request. Plan for two sittings with different dataset variants, or a BYOD-plus-lab hybrid with a checkerboard seating pattern. Confirm by Week 5.</t>
        </is>
      </c>
      <c r="F9" s="18" t="inlineStr">
        <is>
          <t>Faculty + lecturer</t>
        </is>
      </c>
    </row>
    <row r="10" ht="72" customHeight="1">
      <c r="A10" s="17" t="inlineStr">
        <is>
          <t>R3</t>
        </is>
      </c>
      <c r="B10" s="18" t="inlineStr">
        <is>
          <t>Bandwidth collapse when ~100 students install Python, VS Code and packages simultaneously in Week 2.</t>
        </is>
      </c>
      <c r="C10" s="33" t="inlineStr">
        <is>
          <t>Likely</t>
        </is>
      </c>
      <c r="D10" s="33" t="inlineStr">
        <is>
          <t>High</t>
        </is>
      </c>
      <c r="E10" s="18" t="inlineStr">
        <is>
          <t>Pre-download all installers and package wheels to USB drives and the local network share before Week 2. Declare Google Colab as the official fallback. Pre-provision lab machines. Recruit 6-8 floor helpers.</t>
        </is>
      </c>
      <c r="F10" s="18" t="inlineStr">
        <is>
          <t>Lecturer</t>
        </is>
      </c>
    </row>
    <row r="11" ht="72" customHeight="1">
      <c r="A11" s="17" t="inlineStr">
        <is>
          <t>R4</t>
        </is>
      </c>
      <c r="B11" s="18" t="inlineStr">
        <is>
          <t>Power outages or network loss during a session or, worse, during a test.</t>
        </is>
      </c>
      <c r="C11" s="33" t="inlineStr">
        <is>
          <t>Possible</t>
        </is>
      </c>
      <c r="D11" s="33" t="inlineStr">
        <is>
          <t>High</t>
        </is>
      </c>
      <c r="E11" s="18" t="inlineStr">
        <is>
          <t>All materials are offline-first: datasets staged locally, printed cheat sheets for every tool week, printed task sheets for tests. Both tests are designed to run offline anyway, which converts this risk into an inconvenience. Agree a documented rescheduling rule with the Faculty before Week 7.</t>
        </is>
      </c>
      <c r="F11" s="18" t="inlineStr">
        <is>
          <t>Lecturer + Faculty</t>
        </is>
      </c>
    </row>
    <row r="12" ht="72" customHeight="1">
      <c r="A12" s="15" t="inlineStr">
        <is>
          <t>R5</t>
        </is>
      </c>
      <c r="B12" s="16" t="inlineStr">
        <is>
          <t>Very wide ability spread. Some students will have some prior exposure; most will have none.</t>
        </is>
      </c>
      <c r="C12" s="32" t="inlineStr">
        <is>
          <t>Certain</t>
        </is>
      </c>
      <c r="D12" s="32" t="inlineStr">
        <is>
          <t>Medium</t>
        </is>
      </c>
      <c r="E12" s="16" t="inlineStr">
        <is>
          <t>Every practical is written in two tiers: a core tier everyone must complete and a stretch tier for those who finish early. Faster students are recruited as floor helpers, which is both scaffolding and recognition. Teams are formed deliberately mixed, not by friendship.</t>
        </is>
      </c>
      <c r="F12" s="16" t="inlineStr">
        <is>
          <t>Lecturer</t>
        </is>
      </c>
    </row>
    <row r="13" ht="72" customHeight="1">
      <c r="A13" s="15" t="inlineStr">
        <is>
          <t>R6</t>
        </is>
      </c>
      <c r="B13" s="16" t="inlineStr">
        <is>
          <t>Free-riding in team projects: strong students do the work, weak students receive the mark.</t>
        </is>
      </c>
      <c r="C13" s="32" t="inlineStr">
        <is>
          <t>Likely</t>
        </is>
      </c>
      <c r="D13" s="32" t="inlineStr">
        <is>
          <t>Medium</t>
        </is>
      </c>
      <c r="E13" s="16" t="inlineStr">
        <is>
          <t>65% of the semester mark is individual (weekly quizzes, weekly challenges, two practical tests, viva and reflection). Rotating roles at every milestone. A contribution log in the repository, cross-checked against commit history. Two unseen individual viva questions in Week 15, where a student is marked on what they can actually explain.</t>
        </is>
      </c>
      <c r="F13" s="16" t="inlineStr">
        <is>
          <t>Lecturer</t>
        </is>
      </c>
    </row>
    <row r="14" ht="72" customHeight="1">
      <c r="A14" s="15" t="inlineStr">
        <is>
          <t>R7</t>
        </is>
      </c>
      <c r="B14" s="16" t="inlineStr">
        <is>
          <t>Collusion during the practical tests in a large room.</t>
        </is>
      </c>
      <c r="C14" s="32" t="inlineStr">
        <is>
          <t>Possible</t>
        </is>
      </c>
      <c r="D14" s="32" t="inlineStr">
        <is>
          <t>Medium</t>
        </is>
      </c>
      <c r="E14" s="16" t="inlineStr">
        <is>
          <t>Three parallel dataset variants of matched difficulty, distributed in a checkerboard pattern. Offline mode removes messaging and AI assistance. Second invigilator for any sitting above 40. Part B (written reasoning about the student's own submission) is very hard to fake.</t>
        </is>
      </c>
      <c r="F14" s="16" t="inlineStr">
        <is>
          <t>Lecturer + invigilators</t>
        </is>
      </c>
    </row>
    <row r="15" ht="72" customHeight="1">
      <c r="A15" s="17" t="inlineStr">
        <is>
          <t>R8</t>
        </is>
      </c>
      <c r="B15" s="18" t="inlineStr">
        <is>
          <t>Marking load. Fully human marking of this design is about 246 hours per semester - roughly 16 hours a week on top of 9 teaching hours. The largest single component is the ~2,145 weekly practical submissions, well ahead of the tests.</t>
        </is>
      </c>
      <c r="C15" s="33" t="inlineStr">
        <is>
          <t>Certain</t>
        </is>
      </c>
      <c r="D15" s="33" t="inlineStr">
        <is>
          <t>High</t>
        </is>
      </c>
      <c r="E15" s="18" t="inlineStr">
        <is>
          <t>LARGELY MITIGATED by the auto-grading stack: Layers B and C take the total to about 120 hours, roughly 8 hours a week, at a one-off authoring cost of about 30 hours that is reusable in later years. See the 'Marking Load' and 'Assessment Tech Stack' sheets. Residual actions: build the question banks and test specs in the low-divergence weeks; still quantify the remaining 120 hours in a Week 1 request to the Faculty, because 8 hours a week of marking on top of 9 hours of teaching and the preparation load is not comfortable.</t>
        </is>
      </c>
      <c r="F15" s="18" t="inlineStr">
        <is>
          <t>Lecturer + Faculty</t>
        </is>
      </c>
    </row>
    <row r="16" ht="72" customHeight="1">
      <c r="A16" s="10" t="inlineStr">
        <is>
          <t>R13</t>
        </is>
      </c>
      <c r="B16" s="11" t="inlineStr">
        <is>
          <t>Google Forms cannot work offline. A campus network or power failure during a weekly quiz costs that sitting for a whole cohort, and there are now twelve sittings rather than five, so over a semester this will happen at least once.</t>
        </is>
      </c>
      <c r="C16" s="29" t="inlineStr">
        <is>
          <t>Likely</t>
        </is>
      </c>
      <c r="D16" s="29" t="inlineStr">
        <is>
          <t>Low</t>
        </is>
      </c>
      <c r="E16" s="11" t="inlineStr">
        <is>
          <t>Two layers, and the first makes the second almost unnecessary. Best 10 of 12 count, so a lost sitting costs a student nothing at all - this is the main reason the rule exists, and with twelve quizzes it absorbs a network failure without any administration. Second, a standing published rule: if the room is down, the quiz converts to a 48-hour asynchronous link and the class is told so before they leave. Keep a printed copy in the room as a third option for a cohort that has already lost two. Never reschedule a quiz into the following week, because that week already has its own.</t>
        </is>
      </c>
      <c r="F16" s="11" t="inlineStr">
        <is>
          <t>Lecturer</t>
        </is>
      </c>
    </row>
    <row r="17" ht="72" customHeight="1">
      <c r="A17" s="10" t="inlineStr">
        <is>
          <t>R14</t>
        </is>
      </c>
      <c r="B17" s="11" t="inlineStr">
        <is>
          <t>Quiz integrity. The weekly quizzes are taken on personal phones, in one room, at the same time. Collusion is possible and cannot be fully prevented.</t>
        </is>
      </c>
      <c r="C17" s="29" t="inlineStr">
        <is>
          <t>Likely</t>
        </is>
      </c>
      <c r="D17" s="29" t="inlineStr">
        <is>
          <t>Low</t>
        </is>
      </c>
      <c r="E17" s="11" t="inlineStr">
        <is>
          <t>Accepted and designed around rather than fought. Each quiz is worth 1%, so the incentive is very small - smaller than under the old five-checkpoint design. Three parallel versions (A/B/C) are issued by seating column, with question and option order shuffled. Every question requires reading a supplied code snippet or output, which is far harder to shout across a room than a definition, and the five-minute window leaves little time to coordinate. Correct answers are NOT released to students, only which questions they missed plus the teaching feedback. Most importantly, the quizzes are positioned as rewarding keeping up rather than as certifying competence: 35% of the mark sits in the two offline tests, which is where unaided capability is actually certified. A student whose quiz scores are strong while their test scores are weak is visible in the gradebook, and that is a conversation to have rather than a penalty to apply.</t>
        </is>
      </c>
      <c r="F17" s="11" t="inlineStr">
        <is>
          <t>Lecturer</t>
        </is>
      </c>
    </row>
    <row r="18" ht="72" customHeight="1">
      <c r="A18" s="15" t="inlineStr">
        <is>
          <t>R15</t>
        </is>
      </c>
      <c r="B18" s="16" t="inlineStr">
        <is>
          <t>Assessment records live in the lecturer's personal Google account, because IUEA has no institutional LMS. That raises continuity, ownership and data-protection questions for official marks.</t>
        </is>
      </c>
      <c r="C18" s="32" t="inlineStr">
        <is>
          <t>Certain</t>
        </is>
      </c>
      <c r="D18" s="32" t="inlineStr">
        <is>
          <t>Medium</t>
        </is>
      </c>
      <c r="E18" s="16" t="inlineStr">
        <is>
          <t>Raise it with the Faculty in Week 1 and get a written position. Interim measures: export the Forms responses and the gradebook to the course share as CSV at the end of every block, so the authoritative record is a file the university holds rather than a cloud account tied to one person; collect the student number rather than personal email addresses; and state in the syllabus which data is collected and where it goes. If IUEA later provides an LMS, Layers A and D move across without touching Layers B, C or E.</t>
        </is>
      </c>
      <c r="F18" s="16" t="inlineStr">
        <is>
          <t>Lecturer + Faculty</t>
        </is>
      </c>
    </row>
    <row r="19" ht="72" customHeight="1">
      <c r="A19" s="15" t="inlineStr">
        <is>
          <t>R9</t>
        </is>
      </c>
      <c r="B19" s="16" t="inlineStr">
        <is>
          <t>Students submit AI-generated work they cannot explain.</t>
        </is>
      </c>
      <c r="C19" s="32" t="inlineStr">
        <is>
          <t>Likely</t>
        </is>
      </c>
      <c r="D19" s="32" t="inlineStr">
        <is>
          <t>Medium</t>
        </is>
      </c>
      <c r="E19" s="16" t="inlineStr">
        <is>
          <t>AI is permitted and taught in coursework, with a mandatory use log, and excluded from both tests by running them offline. The published rule is that a student is marked on what they can explain: the Week 15 viva and the Part B written sections make this enforceable without policing.</t>
        </is>
      </c>
      <c r="F19" s="16" t="inlineStr">
        <is>
          <t>Lecturer</t>
        </is>
      </c>
    </row>
    <row r="20" ht="72" customHeight="1">
      <c r="A20" s="15" t="inlineStr">
        <is>
          <t>R10</t>
        </is>
      </c>
      <c r="B20" s="16" t="inlineStr">
        <is>
          <t>Dataset links rot, or a Kaggle dataset is withdrawn between planning and use.</t>
        </is>
      </c>
      <c r="C20" s="32" t="inlineStr">
        <is>
          <t>Possible</t>
        </is>
      </c>
      <c r="D20" s="32" t="inlineStr">
        <is>
          <t>Medium</t>
        </is>
      </c>
      <c r="E20" s="16" t="inlineStr">
        <is>
          <t>Every dataset is downloaded and staged on the local share at the start of the semester, not fetched live in class. The dataset register carries a verification status column; re-verify each link in the week before use. Two alternatives are named for every anchor dataset.</t>
        </is>
      </c>
      <c r="F20" s="16" t="inlineStr">
        <is>
          <t>Lecturer</t>
        </is>
      </c>
    </row>
    <row r="21" ht="72" customHeight="1">
      <c r="A21" s="15" t="inlineStr">
        <is>
          <t>R11</t>
        </is>
      </c>
      <c r="B21" s="16" t="inlineStr">
        <is>
          <t>The 13 teaching weeks slip, and the project is squeezed.</t>
        </is>
      </c>
      <c r="C21" s="32" t="inlineStr">
        <is>
          <t>Possible</t>
        </is>
      </c>
      <c r="D21" s="32" t="inlineStr">
        <is>
          <t>Medium</t>
        </is>
      </c>
      <c r="E21" s="16" t="inlineStr">
        <is>
          <t>Weeks 11 and 12 carry deliberate compressible content. The project runs as a strand from Week 9 with four milestones, so it is not dependent on a single studio session. If a week is lost, cut the Week 12 defence round to 15 minutes rather than cutting a project milestone.</t>
        </is>
      </c>
      <c r="F21" s="16" t="inlineStr">
        <is>
          <t>Lecturer</t>
        </is>
      </c>
    </row>
    <row r="22" ht="72" customHeight="1">
      <c r="A22" s="10" t="inlineStr">
        <is>
          <t>R12</t>
        </is>
      </c>
      <c r="B22" s="11" t="inlineStr">
        <is>
          <t>Semester 2 begins with the cohort having forgotten Semester 1.</t>
        </is>
      </c>
      <c r="C22" s="29" t="inlineStr">
        <is>
          <t>Likely</t>
        </is>
      </c>
      <c r="D22" s="29" t="inlineStr">
        <is>
          <t>Low</t>
        </is>
      </c>
      <c r="E22" s="11" t="inlineStr">
        <is>
          <t>The Week 15 reflection requires two named Semester 2 goals. An optional holiday challenge is issued. Semester 2 Weeks 1-2 are designed as review-through-application, not as re-teaching.</t>
        </is>
      </c>
      <c r="F22" s="11" t="inlineStr">
        <is>
          <t>Lecturer</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2026-09-09T12:35:56Z</dcterms:created>
  <dcterms:modified xmlns:dcterms="http://purl.org/dc/terms/" xmlns:xsi="http://www.w3.org/2001/XMLSchema-instance" xsi:type="dcterms:W3CDTF">2026-09-09T12:35:56Z</dcterms:modified>
</cp:coreProperties>
</file>