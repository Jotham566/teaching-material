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Read Me" sheetId="1" state="visible" r:id="rId1"/>
    <sheet xmlns:r="http://schemas.openxmlformats.org/officeDocument/2006/relationships" name="Calendar" sheetId="2" state="visible" r:id="rId2"/>
    <sheet xmlns:r="http://schemas.openxmlformats.org/officeDocument/2006/relationships" name="Master Plan (Shared Core)" sheetId="3" state="visible" r:id="rId3"/>
    <sheet xmlns:r="http://schemas.openxmlformats.org/officeDocument/2006/relationships" name="Cohort A" sheetId="4" state="visible" r:id="rId4"/>
    <sheet xmlns:r="http://schemas.openxmlformats.org/officeDocument/2006/relationships" name="Cohort B" sheetId="5" state="visible" r:id="rId5"/>
    <sheet xmlns:r="http://schemas.openxmlformats.org/officeDocument/2006/relationships" name="Cohort C" sheetId="6" state="visible" r:id="rId6"/>
    <sheet xmlns:r="http://schemas.openxmlformats.org/officeDocument/2006/relationships" name="Shared vs Divergent" sheetId="7" state="visible" r:id="rId7"/>
    <sheet xmlns:r="http://schemas.openxmlformats.org/officeDocument/2006/relationships" name="Assessment" sheetId="8" state="visible" r:id="rId8"/>
    <sheet xmlns:r="http://schemas.openxmlformats.org/officeDocument/2006/relationships" name="Rubrics" sheetId="9" state="visible" r:id="rId9"/>
    <sheet xmlns:r="http://schemas.openxmlformats.org/officeDocument/2006/relationships" name="Tools Rollout" sheetId="10" state="visible" r:id="rId10"/>
    <sheet xmlns:r="http://schemas.openxmlformats.org/officeDocument/2006/relationships" name="Dataset Register" sheetId="11" state="visible" r:id="rId11"/>
    <sheet xmlns:r="http://schemas.openxmlformats.org/officeDocument/2006/relationships" name="Assessment Tech Stack" sheetId="12" state="visible" r:id="rId12"/>
    <sheet xmlns:r="http://schemas.openxmlformats.org/officeDocument/2006/relationships" name="Marking Load" sheetId="13" state="visible" r:id="rId13"/>
    <sheet xmlns:r="http://schemas.openxmlformats.org/officeDocument/2006/relationships" name="Risk Register" sheetId="14" state="visible" r:id="rId14"/>
  </sheets>
  <definedNames>
    <definedName name="_xlnm._FilterDatabase" localSheetId="2" hidden="1">'Master Plan (Shared Core)'!$A$4:$O$19</definedName>
    <definedName name="_xlnm._FilterDatabase" localSheetId="3" hidden="1">'Cohort A'!$A$4:$V$19</definedName>
    <definedName name="_xlnm._FilterDatabase" localSheetId="4" hidden="1">'Cohort B'!$A$4:$V$19</definedName>
    <definedName name="_xlnm._FilterDatabase" localSheetId="5" hidden="1">'Cohort C'!$A$4:$V$19</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8"/>
    </font>
    <font>
      <name val="Arial"/>
      <charset val="1"/>
      <family val="0"/>
      <i val="1"/>
      <color rgb="FF2E5C8A"/>
      <sz val="11"/>
    </font>
    <font>
      <name val="Arial"/>
      <charset val="1"/>
      <family val="0"/>
      <b val="1"/>
      <color rgb="FFFFFFFF"/>
      <sz val="12"/>
    </font>
    <font>
      <name val="Arial"/>
      <charset val="1"/>
      <family val="0"/>
      <b val="1"/>
      <sz val="9"/>
    </font>
    <font>
      <name val="Arial"/>
      <charset val="1"/>
      <family val="0"/>
      <sz val="9"/>
    </font>
    <font>
      <name val="Arial"/>
      <charset val="1"/>
      <family val="0"/>
      <b val="1"/>
      <color rgb="FFFFFFFF"/>
      <sz val="10"/>
    </font>
    <font>
      <name val="Arial"/>
      <charset val="1"/>
      <family val="0"/>
      <i val="1"/>
      <color rgb="FF9C4500"/>
      <sz val="9"/>
    </font>
    <font>
      <name val="Arial"/>
      <charset val="1"/>
      <family val="0"/>
      <i val="1"/>
      <sz val="9"/>
    </font>
  </fonts>
  <fills count="9">
    <fill>
      <patternFill/>
    </fill>
    <fill>
      <patternFill patternType="gray125"/>
    </fill>
    <fill>
      <patternFill patternType="solid">
        <fgColor rgb="FF2E5C8A"/>
        <bgColor rgb="FF2E75B6"/>
      </patternFill>
    </fill>
    <fill>
      <patternFill patternType="solid">
        <fgColor rgb="FF1F3864"/>
        <bgColor rgb="FF333333"/>
      </patternFill>
    </fill>
    <fill>
      <patternFill patternType="solid">
        <fgColor rgb="FFE2EFDA"/>
        <bgColor rgb="FFD9E2F3"/>
      </patternFill>
    </fill>
    <fill>
      <patternFill patternType="solid">
        <fgColor rgb="FFFFF2CC"/>
        <bgColor rgb="FFFCE4E4"/>
      </patternFill>
    </fill>
    <fill>
      <patternFill patternType="solid">
        <fgColor rgb="FFF2F5FB"/>
        <bgColor rgb="FFFFFFFF"/>
      </patternFill>
    </fill>
    <fill>
      <patternFill patternType="solid">
        <fgColor rgb="FFFCE4E4"/>
        <bgColor rgb="FFFFF2CC"/>
      </patternFill>
    </fill>
    <fill>
      <patternFill patternType="solid">
        <fgColor rgb="FFD9E2F3"/>
        <bgColor rgb="FFE2EFDA"/>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3" borderId="1" applyAlignment="1" pivotButton="0" quotePrefix="0" xfId="0">
      <alignment horizontal="center" vertical="center" wrapText="1"/>
    </xf>
    <xf numFmtId="0" fontId="7" fillId="4" borderId="1" applyAlignment="1" pivotButton="0" quotePrefix="0" xfId="0">
      <alignment horizontal="center" vertical="top" wrapText="1"/>
    </xf>
    <xf numFmtId="0" fontId="8" fillId="4" borderId="1" applyAlignment="1" pivotButton="0" quotePrefix="0" xfId="0">
      <alignment horizontal="general" vertical="top" wrapText="1"/>
    </xf>
    <xf numFmtId="0" fontId="7" fillId="5" borderId="0" applyAlignment="1" pivotButton="0" quotePrefix="0" xfId="0">
      <alignment horizontal="general" vertical="top" wrapText="1"/>
    </xf>
    <xf numFmtId="0" fontId="7" fillId="0" borderId="1" applyAlignment="1" pivotButton="0" quotePrefix="0" xfId="0">
      <alignment horizontal="center" vertical="top" wrapText="1"/>
    </xf>
    <xf numFmtId="0" fontId="8" fillId="0" borderId="1" applyAlignment="1" pivotButton="0" quotePrefix="0" xfId="0">
      <alignment horizontal="general" vertical="top" wrapText="1"/>
    </xf>
    <xf numFmtId="0" fontId="7" fillId="6" borderId="1" applyAlignment="1" pivotButton="0" quotePrefix="0" xfId="0">
      <alignment horizontal="center" vertical="top" wrapText="1"/>
    </xf>
    <xf numFmtId="0" fontId="8" fillId="6" borderId="1" applyAlignment="1" pivotButton="0" quotePrefix="0" xfId="0">
      <alignment horizontal="general" vertical="top" wrapText="1"/>
    </xf>
    <xf numFmtId="0" fontId="10" fillId="5" borderId="0" applyAlignment="1" pivotButton="0" quotePrefix="0" xfId="0">
      <alignment horizontal="general" vertical="top" wrapText="1"/>
    </xf>
    <xf numFmtId="0" fontId="7" fillId="5" borderId="1" applyAlignment="1" pivotButton="0" quotePrefix="0" xfId="0">
      <alignment horizontal="center" vertical="top" wrapText="1"/>
    </xf>
    <xf numFmtId="0" fontId="8" fillId="5" borderId="1" applyAlignment="1" pivotButton="0" quotePrefix="0" xfId="0">
      <alignment horizontal="general" vertical="top" wrapText="1"/>
    </xf>
    <xf numFmtId="0" fontId="7" fillId="7" borderId="1" applyAlignment="1" pivotButton="0" quotePrefix="0" xfId="0">
      <alignment horizontal="center" vertical="top" wrapText="1"/>
    </xf>
    <xf numFmtId="0" fontId="8" fillId="7" borderId="1" applyAlignment="1" pivotButton="0" quotePrefix="0" xfId="0">
      <alignment horizontal="general" vertical="top" wrapText="1"/>
    </xf>
    <xf numFmtId="0" fontId="7"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7" fillId="8" borderId="0" applyAlignment="1" pivotButton="0" quotePrefix="0" xfId="0">
      <alignment horizontal="general" vertical="top" wrapText="1"/>
    </xf>
    <xf numFmtId="0" fontId="6" fillId="2" borderId="0" applyAlignment="1" pivotButton="0" quotePrefix="0" xfId="0">
      <alignment horizontal="general" vertical="bottom"/>
    </xf>
    <xf numFmtId="9" fontId="8" fillId="0" borderId="1" applyAlignment="1" pivotButton="0" quotePrefix="0" xfId="0">
      <alignment horizontal="center" vertical="top" wrapText="1"/>
    </xf>
    <xf numFmtId="0" fontId="7" fillId="8" borderId="1" applyAlignment="1" pivotButton="0" quotePrefix="0" xfId="0">
      <alignment horizontal="center" vertical="top" wrapText="1"/>
    </xf>
    <xf numFmtId="0" fontId="8" fillId="8" borderId="1" applyAlignment="1" pivotButton="0" quotePrefix="0" xfId="0">
      <alignment horizontal="general" vertical="top" wrapText="1"/>
    </xf>
    <xf numFmtId="9" fontId="7" fillId="8" borderId="1" applyAlignment="1" pivotButton="0" quotePrefix="0" xfId="0">
      <alignment horizontal="center" vertical="top" wrapText="1"/>
    </xf>
    <xf numFmtId="9" fontId="8" fillId="4" borderId="1" applyAlignment="1" pivotButton="0" quotePrefix="0" xfId="0">
      <alignment horizontal="center" vertical="top" wrapText="1"/>
    </xf>
    <xf numFmtId="9" fontId="8" fillId="5" borderId="1" applyAlignment="1" pivotButton="0" quotePrefix="0" xfId="0">
      <alignment horizontal="center" vertical="top" wrapText="1"/>
    </xf>
    <xf numFmtId="9" fontId="8" fillId="8" borderId="1" applyAlignment="1" pivotButton="0" quotePrefix="0" xfId="0">
      <alignment horizontal="center" vertical="top" wrapText="1"/>
    </xf>
    <xf numFmtId="0" fontId="8" fillId="0" borderId="1" applyAlignment="1" pivotButton="0" quotePrefix="0" xfId="0">
      <alignment horizontal="center" vertical="top" wrapText="1"/>
    </xf>
    <xf numFmtId="0" fontId="8" fillId="6" borderId="1" applyAlignment="1" pivotButton="0" quotePrefix="0" xfId="0">
      <alignment horizontal="center" vertical="top" wrapText="1"/>
    </xf>
    <xf numFmtId="0" fontId="8" fillId="4" borderId="1" applyAlignment="1" pivotButton="0" quotePrefix="0" xfId="0">
      <alignment horizontal="center" vertical="top" wrapText="1"/>
    </xf>
    <xf numFmtId="0" fontId="8" fillId="5" borderId="1" applyAlignment="1" pivotButton="0" quotePrefix="0" xfId="0">
      <alignment horizontal="center" vertical="top" wrapText="1"/>
    </xf>
    <xf numFmtId="0" fontId="8" fillId="7"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3" borderId="1" applyAlignment="1" pivotButton="0" quotePrefix="0" xfId="0">
      <alignment horizontal="center" vertical="center" wrapText="1"/>
    </xf>
    <xf numFmtId="0" fontId="7" fillId="4" borderId="1" applyAlignment="1" pivotButton="0" quotePrefix="0" xfId="0">
      <alignment horizontal="center" vertical="top" wrapText="1"/>
    </xf>
    <xf numFmtId="0" fontId="8" fillId="4" borderId="1" applyAlignment="1" pivotButton="0" quotePrefix="0" xfId="0">
      <alignment horizontal="general" vertical="top" wrapText="1"/>
    </xf>
    <xf numFmtId="0" fontId="7" fillId="5" borderId="0" applyAlignment="1" pivotButton="0" quotePrefix="0" xfId="0">
      <alignment horizontal="general" vertical="top" wrapText="1"/>
    </xf>
    <xf numFmtId="0" fontId="7" fillId="0" borderId="1" applyAlignment="1" pivotButton="0" quotePrefix="0" xfId="0">
      <alignment horizontal="center" vertical="top" wrapText="1"/>
    </xf>
    <xf numFmtId="0" fontId="8" fillId="0" borderId="1" applyAlignment="1" pivotButton="0" quotePrefix="0" xfId="0">
      <alignment horizontal="general" vertical="top" wrapText="1"/>
    </xf>
    <xf numFmtId="0" fontId="7" fillId="6" borderId="1" applyAlignment="1" pivotButton="0" quotePrefix="0" xfId="0">
      <alignment horizontal="center" vertical="top" wrapText="1"/>
    </xf>
    <xf numFmtId="0" fontId="8" fillId="6" borderId="1" applyAlignment="1" pivotButton="0" quotePrefix="0" xfId="0">
      <alignment horizontal="general" vertical="top" wrapText="1"/>
    </xf>
    <xf numFmtId="0" fontId="10" fillId="5" borderId="0" applyAlignment="1" pivotButton="0" quotePrefix="0" xfId="0">
      <alignment horizontal="general" vertical="top" wrapText="1"/>
    </xf>
    <xf numFmtId="0" fontId="7" fillId="5" borderId="1" applyAlignment="1" pivotButton="0" quotePrefix="0" xfId="0">
      <alignment horizontal="center" vertical="top" wrapText="1"/>
    </xf>
    <xf numFmtId="0" fontId="8" fillId="5" borderId="1" applyAlignment="1" pivotButton="0" quotePrefix="0" xfId="0">
      <alignment horizontal="general" vertical="top" wrapText="1"/>
    </xf>
    <xf numFmtId="0" fontId="7" fillId="7" borderId="1" applyAlignment="1" pivotButton="0" quotePrefix="0" xfId="0">
      <alignment horizontal="center" vertical="top" wrapText="1"/>
    </xf>
    <xf numFmtId="0" fontId="8" fillId="7" borderId="1" applyAlignment="1" pivotButton="0" quotePrefix="0" xfId="0">
      <alignment horizontal="general" vertical="top" wrapText="1"/>
    </xf>
    <xf numFmtId="0" fontId="11" fillId="0" borderId="0" applyAlignment="1" pivotButton="0" quotePrefix="0" xfId="0">
      <alignment horizontal="general" vertical="top" wrapText="1"/>
    </xf>
    <xf numFmtId="0" fontId="7" fillId="8" borderId="0" applyAlignment="1" pivotButton="0" quotePrefix="0" xfId="0">
      <alignment horizontal="general" vertical="top" wrapText="1"/>
    </xf>
    <xf numFmtId="0" fontId="6" fillId="2" borderId="0" applyAlignment="1" pivotButton="0" quotePrefix="0" xfId="0">
      <alignment horizontal="general" vertical="bottom"/>
    </xf>
    <xf numFmtId="9" fontId="8" fillId="0" borderId="1" applyAlignment="1" pivotButton="0" quotePrefix="0" xfId="0">
      <alignment horizontal="center" vertical="top" wrapText="1"/>
    </xf>
    <xf numFmtId="0" fontId="7" fillId="8" borderId="1" applyAlignment="1" pivotButton="0" quotePrefix="0" xfId="0">
      <alignment horizontal="center" vertical="top" wrapText="1"/>
    </xf>
    <xf numFmtId="0" fontId="8" fillId="8" borderId="1" applyAlignment="1" pivotButton="0" quotePrefix="0" xfId="0">
      <alignment horizontal="general" vertical="top" wrapText="1"/>
    </xf>
    <xf numFmtId="9" fontId="7" fillId="8" borderId="1" applyAlignment="1" pivotButton="0" quotePrefix="0" xfId="0">
      <alignment horizontal="center" vertical="top" wrapText="1"/>
    </xf>
    <xf numFmtId="9" fontId="8" fillId="4" borderId="1" applyAlignment="1" pivotButton="0" quotePrefix="0" xfId="0">
      <alignment horizontal="center" vertical="top" wrapText="1"/>
    </xf>
    <xf numFmtId="9" fontId="8" fillId="5" borderId="1" applyAlignment="1" pivotButton="0" quotePrefix="0" xfId="0">
      <alignment horizontal="center" vertical="top" wrapText="1"/>
    </xf>
    <xf numFmtId="9" fontId="8" fillId="8" borderId="1" applyAlignment="1" pivotButton="0" quotePrefix="0" xfId="0">
      <alignment horizontal="center" vertical="top" wrapText="1"/>
    </xf>
    <xf numFmtId="0" fontId="8" fillId="0" borderId="1" applyAlignment="1" pivotButton="0" quotePrefix="0" xfId="0">
      <alignment horizontal="center" vertical="top" wrapText="1"/>
    </xf>
    <xf numFmtId="0" fontId="8" fillId="6" borderId="1" applyAlignment="1" pivotButton="0" quotePrefix="0" xfId="0">
      <alignment horizontal="center" vertical="top" wrapText="1"/>
    </xf>
    <xf numFmtId="0" fontId="8" fillId="4" borderId="1" applyAlignment="1" pivotButton="0" quotePrefix="0" xfId="0">
      <alignment horizontal="center" vertical="top" wrapText="1"/>
    </xf>
    <xf numFmtId="0" fontId="8" fillId="5" borderId="1" applyAlignment="1" pivotButton="0" quotePrefix="0" xfId="0">
      <alignment horizontal="center" vertical="top" wrapText="1"/>
    </xf>
    <xf numFmtId="0" fontId="8" fillId="7"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fgColor rgb="FFF2F5FB"/>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7030A0"/>
      <rgbColor rgb="FFFFF2CC"/>
      <rgbColor rgb="FFF2F5FB"/>
      <rgbColor rgb="FF660066"/>
      <rgbColor rgb="FFFF8080"/>
      <rgbColor rgb="FF2E75B6"/>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A9D08E"/>
      <rgbColor rgb="FFFF99CC"/>
      <rgbColor rgb="FFCC99FF"/>
      <rgbColor rgb="FFFCE4E4"/>
      <rgbColor rgb="FF4472C4"/>
      <rgbColor rgb="FF33CCCC"/>
      <rgbColor rgb="FF99CC00"/>
      <rgbColor rgb="FFFFCC00"/>
      <rgbColor rgb="FFBF8F00"/>
      <rgbColor rgb="FFED7D31"/>
      <rgbColor rgb="FF666699"/>
      <rgbColor rgb="FF70AD47"/>
      <rgbColor rgb="FF1F3864"/>
      <rgbColor rgb="FF00B050"/>
      <rgbColor rgb="FF003300"/>
      <rgbColor rgb="FF333300"/>
      <rgbColor rgb="FF9C4500"/>
      <rgbColor rgb="FFC55A11"/>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F45"/>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35" min="1" max="1"/>
    <col width="30" customWidth="1" style="35" min="2" max="2"/>
    <col width="24" customWidth="1" style="35" min="3" max="3"/>
    <col width="42" customWidth="1" style="35" min="4" max="4"/>
    <col width="24" customWidth="1" style="35" min="5" max="5"/>
    <col width="34" customWidth="1" style="35" min="6" max="6"/>
  </cols>
  <sheetData>
    <row r="1" ht="25.5" customHeight="1" s="36">
      <c r="A1" s="37" t="inlineStr">
        <is>
          <t>IUEA Year 3 Engineering — Machine Learning Programme</t>
        </is>
      </c>
    </row>
    <row r="2" ht="18" customHeight="1" s="36">
      <c r="A2" s="38" t="inlineStr">
        <is>
          <t>Semester 1 Master Teaching Plan · 7 September – 18 December 2026 · 15 study weeks · 3 contact hours per cohort per week</t>
        </is>
      </c>
    </row>
    <row r="4" ht="19.5" customHeight="1" s="36">
      <c r="A4" s="39" t="inlineStr">
        <is>
          <t>WHAT THIS WORKBOOK IS</t>
        </is>
      </c>
    </row>
    <row r="5" ht="43.5" customHeight="1" s="36">
      <c r="A5" s="40" t="inlineStr">
        <is>
          <t>Purpose</t>
        </is>
      </c>
      <c r="B5" s="41" t="inlineStr">
        <is>
          <t>The lecturer-ready master plan for Semester 1. It fixes the calendar, the week-by-week architecture, the shared core and the cohort-specific overlay, the assessment design and the rubrics. It is the layer that must be agreed BEFORE lesson plans, slide decks, notebooks and labs are produced.</t>
        </is>
      </c>
    </row>
    <row r="6" ht="43.5" customHeight="1" s="36">
      <c r="A6" s="40" t="inlineStr">
        <is>
          <t>Design rule</t>
        </is>
      </c>
      <c r="B6" s="41" t="inlineStr">
        <is>
          <t>Approximately 70% of each session is a shared machine learning core, taught identically to all three cohorts, and approximately 30% is a discipline-specific overlay of examples, datasets and projects. Prepare once, re-skin three times. The 'Shared vs Divergent' sheet tells you exactly which is which, week by week.</t>
        </is>
      </c>
    </row>
    <row r="7" ht="36" customHeight="1" s="36">
      <c r="A7" s="40" t="inlineStr">
        <is>
          <t>Pedagogical rule</t>
        </is>
      </c>
      <c r="B7" s="41" t="inlineStr">
        <is>
          <t>The problem creates the need for the concept. No week opens with a definition. Every tool is introduced by the problem it solves. Students are left to struggle productively in at least one segment of every session.</t>
        </is>
      </c>
    </row>
    <row r="8" ht="36" customHeight="1" s="36">
      <c r="A8" s="40" t="inlineStr">
        <is>
          <t>Not yet built</t>
        </is>
      </c>
      <c r="B8" s="41" t="inlineStr">
        <is>
          <t>Lesson plans, slide decks, Jupyter notebooks, the course-authored teaching datasets, the test variants and the Semester 2 plan. The 'Dataset Register' marks every course-authored artefact as TO BE BUILT with the week it is needed.</t>
        </is>
      </c>
    </row>
    <row r="10" ht="19.5" customHeight="1" s="36">
      <c r="A10" s="39" t="inlineStr">
        <is>
          <t>THE CONFIRMED TIMETABLE</t>
        </is>
      </c>
    </row>
    <row r="11" ht="25.5" customHeight="1" s="36">
      <c r="A11" s="40" t="inlineStr">
        <is>
          <t>Status</t>
        </is>
      </c>
      <c r="B11" s="41" t="inlineStr">
        <is>
          <t>CONFIRMED by the lecturer, September 2026. Every date, room and time in this workbook now follows from this table. There is nothing left to fill in.</t>
        </is>
      </c>
    </row>
    <row r="12" ht="31.5" customHeight="1" s="36">
      <c r="A12" s="42" t="inlineStr">
        <is>
          <t>Course code</t>
        </is>
      </c>
      <c r="B12" s="42" t="inlineStr">
        <is>
          <t>Day &amp; time</t>
        </is>
      </c>
      <c r="C12" s="42" t="inlineStr">
        <is>
          <t>Room</t>
        </is>
      </c>
      <c r="D12" s="42" t="inlineStr">
        <is>
          <t>Cohort &amp; programmes</t>
        </is>
      </c>
      <c r="E12" s="42" t="inlineStr">
        <is>
          <t>Approx. size</t>
        </is>
      </c>
      <c r="F12" s="42" t="inlineStr">
        <is>
          <t>Course title</t>
        </is>
      </c>
    </row>
    <row r="13" ht="30" customHeight="1" s="36">
      <c r="A13" s="43" t="inlineStr">
        <is>
          <t>CML3112</t>
        </is>
      </c>
      <c r="B13" s="44" t="inlineStr">
        <is>
          <t>Tuesday 11:00-14:00</t>
        </is>
      </c>
      <c r="C13" s="44" t="inlineStr">
        <is>
          <t>Room 106</t>
        </is>
      </c>
      <c r="D13" s="44" t="inlineStr">
        <is>
          <t>Cohort A — Civil Engineering + Architecture</t>
        </is>
      </c>
      <c r="E13" s="44" t="inlineStr">
        <is>
          <t>~100 students (est. 22 project teams of 4-5)</t>
        </is>
      </c>
      <c r="F13" s="44" t="inlineStr">
        <is>
          <t>Introduction to Machine Learning in Design &amp; Infrastructure</t>
        </is>
      </c>
    </row>
    <row r="14" ht="30" customHeight="1" s="36">
      <c r="A14" s="43" t="inlineStr">
        <is>
          <t>CML3113</t>
        </is>
      </c>
      <c r="B14" s="44" t="inlineStr">
        <is>
          <t>Friday 08:00-11:00</t>
        </is>
      </c>
      <c r="C14" s="44" t="inlineStr">
        <is>
          <t>Room 105</t>
        </is>
      </c>
      <c r="D14" s="44" t="inlineStr">
        <is>
          <t>Cohort B — Petroleum Engineering + Mining Engineering</t>
        </is>
      </c>
      <c r="E14" s="44" t="inlineStr">
        <is>
          <t>~40-50 students (est. 10 project teams of 4-5)</t>
        </is>
      </c>
      <c r="F14" s="44" t="inlineStr">
        <is>
          <t>Introduction to Machine Learning in Mining &amp; Petroleum Engineering</t>
        </is>
      </c>
    </row>
    <row r="15" ht="30" customHeight="1" s="36">
      <c r="A15" s="43" t="inlineStr">
        <is>
          <t>CML3111</t>
        </is>
      </c>
      <c r="B15" s="44" t="inlineStr">
        <is>
          <t>Friday 11:00-14:00</t>
        </is>
      </c>
      <c r="C15" s="44" t="inlineStr">
        <is>
          <t>Room 115</t>
        </is>
      </c>
      <c r="D15" s="44" t="inlineStr">
        <is>
          <t>Cohort C — Communications + Electrical + Mechatronics and Robotics Engineering</t>
        </is>
      </c>
      <c r="E15" s="44" t="inlineStr">
        <is>
          <t>~50 students (est. 11 project teams of 4-5)</t>
        </is>
      </c>
      <c r="F15" s="44" t="inlineStr">
        <is>
          <t>Introduction to Machine Learning in Engineering</t>
        </is>
      </c>
    </row>
    <row r="17" ht="61.5" customHeight="1" s="36">
      <c r="A17" s="45" t="inlineStr">
        <is>
          <t>THREE CONSEQUENCES OF THIS TIMETABLE, each of which changes how the semester runs.  (1) Friday is a SIX-HOUR back-to-back day, 08:00–14:00, with a room change and no gap — see Risk R16.  (2) The Week 5 Independence Day holiday now falls only on the two FRIDAY cohorts. CML3112 teaches Week 5 normally on Tue 06 Oct, so record that session and issue it to the Friday cohorts — see Risk R1.  (3) The largest cohort (~100) is in Room 106, and because the course runs in Google Colab, that room's WIFI capacity is now the biggest single delivery risk — see Risk R17.</t>
        </is>
      </c>
    </row>
    <row r="19" ht="19.5" customHeight="1" s="36">
      <c r="A19" s="39" t="inlineStr">
        <is>
          <t>THE THREE COHORTS</t>
        </is>
      </c>
    </row>
    <row r="20" ht="31.5" customHeight="1" s="36">
      <c r="A20" s="42" t="inlineStr">
        <is>
          <t>Cohort</t>
        </is>
      </c>
      <c r="B20" s="42" t="inlineStr">
        <is>
          <t>Programmes</t>
        </is>
      </c>
      <c r="C20" s="42" t="inlineStr">
        <is>
          <t>Approx. size</t>
        </is>
      </c>
      <c r="D20" s="42" t="inlineStr">
        <is>
          <t>Course title</t>
        </is>
      </c>
      <c r="E20" s="42" t="inlineStr">
        <is>
          <t>Course code</t>
        </is>
      </c>
      <c r="F20" s="42" t="inlineStr">
        <is>
          <t>Anchor domain</t>
        </is>
      </c>
    </row>
    <row r="21" ht="31.5" customHeight="1" s="36">
      <c r="A21" s="46" t="inlineStr">
        <is>
          <t>Cohort A</t>
        </is>
      </c>
      <c r="B21" s="47" t="inlineStr">
        <is>
          <t>Civil Engineering + Architecture</t>
        </is>
      </c>
      <c r="C21" s="47" t="inlineStr">
        <is>
          <t>~100 students (est. 22 project teams of 4-5)</t>
        </is>
      </c>
      <c r="D21" s="47" t="inlineStr">
        <is>
          <t>Introduction to Machine Learning in Design &amp; Infrastructure</t>
        </is>
      </c>
      <c r="E21" s="47" t="inlineStr">
        <is>
          <t>CML3112</t>
        </is>
      </c>
      <c r="F21" s="47" t="inlineStr">
        <is>
          <t>infrastructure, construction, structures, materials, building performance and design</t>
        </is>
      </c>
    </row>
    <row r="22" ht="31.5" customHeight="1" s="36">
      <c r="A22" s="48" t="inlineStr">
        <is>
          <t>Cohort B</t>
        </is>
      </c>
      <c r="B22" s="49" t="inlineStr">
        <is>
          <t>Petroleum Engineering + Mining Engineering</t>
        </is>
      </c>
      <c r="C22" s="49" t="inlineStr">
        <is>
          <t>~40-50 students (est. 10 project teams of 4-5)</t>
        </is>
      </c>
      <c r="D22" s="49" t="inlineStr">
        <is>
          <t>Introduction to Machine Learning in Mining &amp; Petroleum Engineering</t>
        </is>
      </c>
      <c r="E22" s="49" t="inlineStr">
        <is>
          <t>CML3113</t>
        </is>
      </c>
      <c r="F22" s="49" t="inlineStr">
        <is>
          <t>geoscience data, exploration, ore and reservoir characterisation, production and equipment</t>
        </is>
      </c>
    </row>
    <row r="23" ht="31.5" customHeight="1" s="36">
      <c r="A23" s="46" t="inlineStr">
        <is>
          <t>Cohort C</t>
        </is>
      </c>
      <c r="B23" s="47" t="inlineStr">
        <is>
          <t>Communications + Electrical + Mechatronics and Robotics Engineering</t>
        </is>
      </c>
      <c r="C23" s="47" t="inlineStr">
        <is>
          <t>~50 students (est. 11 project teams of 4-5)</t>
        </is>
      </c>
      <c r="D23" s="47" t="inlineStr">
        <is>
          <t>Introduction to Machine Learning in Engineering</t>
        </is>
      </c>
      <c r="E23" s="47" t="inlineStr">
        <is>
          <t>CML3111</t>
        </is>
      </c>
      <c r="F23" s="47" t="inlineStr">
        <is>
          <t>sensors, signals, energy systems, fault detection, machines and robotics</t>
        </is>
      </c>
    </row>
    <row r="25" ht="19.5" customHeight="1" s="36">
      <c r="A25" s="39" t="inlineStr">
        <is>
          <t>ACTION 2 — ESCALATE THESE THREE ITEMS TO THE FACULTY IN WEEK 1</t>
        </is>
      </c>
    </row>
    <row r="26" ht="39.75" customHeight="1" s="36">
      <c r="A26" s="40" t="inlineStr">
        <is>
          <t>Test capacity</t>
        </is>
      </c>
      <c r="B26" s="41" t="inlineStr">
        <is>
          <t>Cohort A (~100) almost certainly cannot sit the Week 7 and Week 14 practical tests in one lab sitting. A written capacity request, or approval for two sittings, is needed by Week 5. See Risk R2.</t>
        </is>
      </c>
    </row>
    <row r="27" ht="39.75" customHeight="1" s="36">
      <c r="A27" s="40" t="inlineStr">
        <is>
          <t>Week 5 holiday</t>
        </is>
      </c>
      <c r="B27" s="41" t="inlineStr">
        <is>
          <t>Friday 9 October 2026 is Uganda Independence Day and falls in Week 5. Both Friday cohorts lose the most important pandas session of the semester. Either a make-up slot is approved or the asynchronous mitigation is published by 7 October. Decide in Week 2. See Risk R1.</t>
        </is>
      </c>
    </row>
    <row r="28" ht="39.75" customHeight="1" s="36">
      <c r="A28" s="40" t="inlineStr">
        <is>
          <t>Marking support</t>
        </is>
      </c>
      <c r="B28" s="41" t="inlineStr">
        <is>
          <t>Automatic grading is essential for one lecturer. The workload figures are planning assumptions, not measured savings. Pilot complete packets, record inference time and unresolved cases, and confirm operational capacity before releasing each assessment. See 'Marking Load' and Risk R8.</t>
        </is>
      </c>
    </row>
    <row r="29" ht="39.75" customHeight="1" s="36">
      <c r="A29" s="40" t="inlineStr">
        <is>
          <t>Assessment records</t>
        </is>
      </c>
      <c r="B29" s="41" t="inlineStr">
        <is>
          <t>There is no institutional LMS, so quiz responses and the gradebook will sit in a personal Google account. Get a written Faculty position on ownership and data protection, and export everything to the course share as CSV at the end of every block. See Risk R15.</t>
        </is>
      </c>
    </row>
    <row r="30" ht="39.75" customHeight="1" s="36">
      <c r="A30" s="40" t="inlineStr">
        <is>
          <t>Assessment policy</t>
        </is>
      </c>
      <c r="B30" s="41" t="inlineStr">
        <is>
          <t>The weightings on the 'Assessment' sheet are a proposal. If IUEA mandates a coursework / final split, the alternative 40/60 mapping on that same sheet satisfies it without changing any teaching. Confirm which model applies before Week 5, because Test 1 falls in Week 7.</t>
        </is>
      </c>
    </row>
    <row r="32" ht="19.5" customHeight="1" s="36">
      <c r="A32" s="39" t="inlineStr">
        <is>
          <t>HOW TO NAVIGATE THIS WORKBOOK</t>
        </is>
      </c>
    </row>
    <row r="33" ht="25.5" customHeight="1" s="36">
      <c r="A33" s="40" t="inlineStr">
        <is>
          <t>Calendar</t>
        </is>
      </c>
      <c r="B33" s="41" t="inlineStr">
        <is>
          <t>All 15 weeks with real dates for both the Tuesday and the Friday slots, teaching weeks and assessment weeks marked, and the public holiday flagged.</t>
        </is>
      </c>
    </row>
    <row r="34" ht="25.5" customHeight="1" s="36">
      <c r="A34" s="40" t="inlineStr">
        <is>
          <t>Master Plan (Shared Core)</t>
        </is>
      </c>
      <c r="B34" s="41" t="inlineStr">
        <is>
          <t>The 70% core. One row per week. This is what you prepare once.</t>
        </is>
      </c>
    </row>
    <row r="35" ht="25.5" customHeight="1" s="36">
      <c r="A35" s="40" t="inlineStr">
        <is>
          <t>Cohort A / B / C</t>
        </is>
      </c>
      <c r="B35" s="41" t="inlineStr">
        <is>
          <t>The full 20-column plan per cohort, with the discipline overlay merged in. These are the sheets to print or hand to the department.</t>
        </is>
      </c>
    </row>
    <row r="36" ht="25.5" customHeight="1" s="36">
      <c r="A36" s="40" t="inlineStr">
        <is>
          <t>Shared vs Divergent</t>
        </is>
      </c>
      <c r="B36" s="41" t="inlineStr">
        <is>
          <t>Week by week: what is identical across cohorts and what must be re-skinned. Use this to plan your own preparation time.</t>
        </is>
      </c>
    </row>
    <row r="37" ht="25.5" customHeight="1" s="36">
      <c r="A37" s="40" t="inlineStr">
        <is>
          <t>Assessment</t>
        </is>
      </c>
      <c r="B37" s="41" t="inlineStr">
        <is>
          <t>Component weights, dates, individual versus team, machine-marked share, and the alternative 40/60 continuous-assessment model.</t>
        </is>
      </c>
    </row>
    <row r="38" ht="25.5" customHeight="1" s="36">
      <c r="A38" s="40" t="inlineStr">
        <is>
          <t>Assessment Tech Stack</t>
        </is>
      </c>
      <c r="B38" s="41" t="inlineStr">
        <is>
          <t>The five free layers that make continuous assessment possible for one lecturer, with each tool's verified limits. Working code is in the assessment-tools folder.</t>
        </is>
      </c>
    </row>
    <row r="39" ht="25.5" customHeight="1" s="36">
      <c r="A39" s="40" t="inlineStr">
        <is>
          <t>Marking Load</t>
        </is>
      </c>
      <c r="B39" s="41" t="inlineStr">
        <is>
          <t>The before-and-after arithmetic: ~246 hours fully human against ~120 with the stack.</t>
        </is>
      </c>
    </row>
    <row r="40" ht="25.5" customHeight="1" s="36">
      <c r="A40" s="40" t="inlineStr">
        <is>
          <t>Rubrics</t>
        </is>
      </c>
      <c r="B40" s="41" t="inlineStr">
        <is>
          <t>All six rubrics, with criterion weights that sum to 100 by formula.</t>
        </is>
      </c>
    </row>
    <row r="41" ht="25.5" customHeight="1" s="36">
      <c r="A41" s="40" t="inlineStr">
        <is>
          <t>Tools Rollout</t>
        </is>
      </c>
      <c r="B41" s="41" t="inlineStr">
        <is>
          <t>Every tool, the week it appears, and the problem it solves. The AI-assistant ladder is the last row.</t>
        </is>
      </c>
    </row>
    <row r="42" ht="25.5" customHeight="1" s="36">
      <c r="A42" s="40" t="inlineStr">
        <is>
          <t>Dataset Register</t>
        </is>
      </c>
      <c r="B42" s="41" t="inlineStr">
        <is>
          <t>Every dataset with host, licence, size, task, weeks used and verification status.</t>
        </is>
      </c>
    </row>
    <row r="43" ht="25.5" customHeight="1" s="36">
      <c r="A43" s="40" t="inlineStr">
        <is>
          <t>Risk Register</t>
        </is>
      </c>
      <c r="B43" s="41" t="inlineStr">
        <is>
          <t>Twelve risks with owners and mitigations. R1, R2 and R3 need action in the first fortnight.</t>
        </is>
      </c>
    </row>
    <row r="45" ht="45.75" customHeight="1" s="36">
      <c r="A45" s="50" t="inlineStr">
        <is>
          <t>Dataset verification note: datasets marked VERIFIED were confirmed to exist and to be openly licensed on 1 September 2026. Those marked VERIFY BEFORE USE are named from the lecturer's knowledge of the repositories but were not confirmed. Re-check every link in the week before you use it, and stage every dataset on the local share rather than fetching it live in class.</t>
        </is>
      </c>
    </row>
  </sheetData>
  <mergeCells count="30">
    <mergeCell ref="B7:F7"/>
    <mergeCell ref="B27:F27"/>
    <mergeCell ref="A2:F2"/>
    <mergeCell ref="B43:F43"/>
    <mergeCell ref="B39:F39"/>
    <mergeCell ref="B11:F11"/>
    <mergeCell ref="B42:F42"/>
    <mergeCell ref="A32:F32"/>
    <mergeCell ref="A17:F17"/>
    <mergeCell ref="A4:F4"/>
    <mergeCell ref="B8:F8"/>
    <mergeCell ref="B29:F29"/>
    <mergeCell ref="A10:F10"/>
    <mergeCell ref="B38:F38"/>
    <mergeCell ref="A19:F19"/>
    <mergeCell ref="B34:F34"/>
    <mergeCell ref="B28:F28"/>
    <mergeCell ref="B37:F37"/>
    <mergeCell ref="B40:F40"/>
    <mergeCell ref="B30:F30"/>
    <mergeCell ref="B6:F6"/>
    <mergeCell ref="B33:F33"/>
    <mergeCell ref="A1:F1"/>
    <mergeCell ref="A45:F45"/>
    <mergeCell ref="B5:F5"/>
    <mergeCell ref="B36:F36"/>
    <mergeCell ref="B26:F26"/>
    <mergeCell ref="B41:F41"/>
    <mergeCell ref="A25:F25"/>
    <mergeCell ref="B35:F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5C8A"/>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7" customWidth="1" style="35" min="1" max="1"/>
    <col width="30" customWidth="1" style="35" min="2" max="2"/>
    <col width="18" customWidth="1" style="35" min="3" max="3"/>
    <col width="24" customWidth="1" style="35" min="4" max="6"/>
    <col width="17" customWidth="1" style="35" min="7" max="7"/>
    <col width="58" customWidth="1" style="35" min="8" max="8"/>
  </cols>
  <sheetData>
    <row r="1" ht="25.5" customHeight="1" s="36">
      <c r="A1" s="37" t="inlineStr">
        <is>
          <t>Semester 1 Calendar</t>
        </is>
      </c>
    </row>
    <row r="2" ht="18" customHeight="1" s="36">
      <c r="A2" s="38" t="inlineStr">
        <is>
          <t>15 study weeks from Monday 7 September 2026. Each cohort meets once per week for 3 hours.</t>
        </is>
      </c>
    </row>
    <row r="4" ht="31.5" customHeight="1" s="36">
      <c r="A4" s="42" t="inlineStr">
        <is>
          <t>Week</t>
        </is>
      </c>
      <c r="B4" s="42" t="inlineStr">
        <is>
          <t>Block / Phase</t>
        </is>
      </c>
      <c r="C4" s="42" t="inlineStr">
        <is>
          <t>Week commencing</t>
        </is>
      </c>
      <c r="D4" s="42" t="inlineStr">
        <is>
          <t>CML3112 · Tue 11:00–14:00 · Rm 106</t>
        </is>
      </c>
      <c r="E4" s="42" t="inlineStr">
        <is>
          <t>CML3113 · Fri 08:00–11:00 · Rm 105</t>
        </is>
      </c>
      <c r="F4" s="42" t="inlineStr">
        <is>
          <t>CML3111 · Fri 11:00–14:00 · Rm 115</t>
        </is>
      </c>
      <c r="G4" s="42" t="inlineStr">
        <is>
          <t>Week type</t>
        </is>
      </c>
      <c r="H4" s="42" t="inlineStr">
        <is>
          <t>Notes and actions</t>
        </is>
      </c>
    </row>
    <row r="5" ht="25.5" customHeight="1" s="36">
      <c r="A5" s="46" t="n">
        <v>1</v>
      </c>
      <c r="B5" s="47" t="inlineStr">
        <is>
          <t>Block 1 - Orientation &amp; Computational Thinking</t>
        </is>
      </c>
      <c r="C5" s="47" t="inlineStr">
        <is>
          <t>Mon 07 Sep 2026</t>
        </is>
      </c>
      <c r="D5" s="47" t="inlineStr">
        <is>
          <t>Tue 08 Sep 2026</t>
        </is>
      </c>
      <c r="E5" s="47" t="inlineStr">
        <is>
          <t>Fri 11 Sep 2026</t>
        </is>
      </c>
      <c r="F5" s="47" t="inlineStr">
        <is>
          <t>Fri 11 Sep 2026</t>
        </is>
      </c>
      <c r="G5" s="47" t="inlineStr">
        <is>
          <t>Teaching</t>
        </is>
      </c>
      <c r="H5" s="47" t="n"/>
    </row>
    <row r="6" ht="25.5" customHeight="1" s="36">
      <c r="A6" s="46" t="n">
        <v>2</v>
      </c>
      <c r="B6" s="47" t="inlineStr">
        <is>
          <t>Block 1 - Orientation &amp; Computational Thinking</t>
        </is>
      </c>
      <c r="C6" s="47" t="inlineStr">
        <is>
          <t>Mon 14 Sep 2026</t>
        </is>
      </c>
      <c r="D6" s="47" t="inlineStr">
        <is>
          <t>Tue 15 Sep 2026</t>
        </is>
      </c>
      <c r="E6" s="47" t="inlineStr">
        <is>
          <t>Fri 18 Sep 2026</t>
        </is>
      </c>
      <c r="F6" s="47" t="inlineStr">
        <is>
          <t>Fri 18 Sep 2026</t>
        </is>
      </c>
      <c r="G6" s="47" t="inlineStr">
        <is>
          <t>Teaching</t>
        </is>
      </c>
      <c r="H6" s="47" t="n"/>
    </row>
    <row r="7" ht="25.5" customHeight="1" s="36">
      <c r="A7" s="46" t="n">
        <v>3</v>
      </c>
      <c r="B7" s="47" t="inlineStr">
        <is>
          <t>Block 1 - Orientation &amp; Computational Thinking</t>
        </is>
      </c>
      <c r="C7" s="47" t="inlineStr">
        <is>
          <t>Mon 21 Sep 2026</t>
        </is>
      </c>
      <c r="D7" s="47" t="inlineStr">
        <is>
          <t>Tue 22 Sep 2026</t>
        </is>
      </c>
      <c r="E7" s="47" t="inlineStr">
        <is>
          <t>Fri 25 Sep 2026</t>
        </is>
      </c>
      <c r="F7" s="47" t="inlineStr">
        <is>
          <t>Fri 25 Sep 2026</t>
        </is>
      </c>
      <c r="G7" s="47" t="inlineStr">
        <is>
          <t>Teaching</t>
        </is>
      </c>
      <c r="H7" s="47" t="n"/>
    </row>
    <row r="8" ht="25.5" customHeight="1" s="36">
      <c r="A8" s="46" t="n">
        <v>4</v>
      </c>
      <c r="B8" s="47" t="inlineStr">
        <is>
          <t>Block 1 - Orientation &amp; Computational Thinking</t>
        </is>
      </c>
      <c r="C8" s="47" t="inlineStr">
        <is>
          <t>Mon 28 Sep 2026</t>
        </is>
      </c>
      <c r="D8" s="47" t="inlineStr">
        <is>
          <t>Tue 29 Sep 2026</t>
        </is>
      </c>
      <c r="E8" s="47" t="inlineStr">
        <is>
          <t>Fri 02 Oct 2026</t>
        </is>
      </c>
      <c r="F8" s="47" t="inlineStr">
        <is>
          <t>Fri 02 Oct 2026</t>
        </is>
      </c>
      <c r="G8" s="47" t="inlineStr">
        <is>
          <t>Teaching</t>
        </is>
      </c>
      <c r="H8" s="47" t="n"/>
    </row>
    <row r="9" ht="43.5" customHeight="1" s="36">
      <c r="A9" s="51" t="n">
        <v>5</v>
      </c>
      <c r="B9" s="52" t="inlineStr">
        <is>
          <t>Block 2 - Engineering Data</t>
        </is>
      </c>
      <c r="C9" s="52" t="inlineStr">
        <is>
          <t>Mon 05 Oct 2026</t>
        </is>
      </c>
      <c r="D9" s="52" t="inlineStr">
        <is>
          <t>Tue 06 Oct 2026</t>
        </is>
      </c>
      <c r="E9" s="52" t="inlineStr">
        <is>
          <t>Fri 09 Oct 2026</t>
        </is>
      </c>
      <c r="F9" s="52" t="inlineStr">
        <is>
          <t>Fri 09 Oct 2026</t>
        </is>
      </c>
      <c r="G9" s="52" t="inlineStr">
        <is>
          <t>Teaching</t>
        </is>
      </c>
      <c r="H9" s="52" t="inlineStr">
        <is>
          <t>PUBLIC HOLIDAY: Fri 09 Oct 2026 is Uganda Independence Day. CML3112 (Tuesday) is UNAFFECTED and teaches normally on Tue 06 Oct. CML3113 and CML3111 both lose this session - it is the pandas week, and mitigation is mandatory. See Risk Register R1.</t>
        </is>
      </c>
    </row>
    <row r="10" ht="25.5" customHeight="1" s="36">
      <c r="A10" s="46" t="n">
        <v>6</v>
      </c>
      <c r="B10" s="47" t="inlineStr">
        <is>
          <t>Block 2 - Engineering Data</t>
        </is>
      </c>
      <c r="C10" s="47" t="inlineStr">
        <is>
          <t>Mon 12 Oct 2026</t>
        </is>
      </c>
      <c r="D10" s="47" t="inlineStr">
        <is>
          <t>Tue 13 Oct 2026</t>
        </is>
      </c>
      <c r="E10" s="47" t="inlineStr">
        <is>
          <t>Fri 16 Oct 2026</t>
        </is>
      </c>
      <c r="F10" s="47" t="inlineStr">
        <is>
          <t>Fri 16 Oct 2026</t>
        </is>
      </c>
      <c r="G10" s="47" t="inlineStr">
        <is>
          <t>Teaching</t>
        </is>
      </c>
      <c r="H10" s="47" t="n"/>
    </row>
    <row r="11" ht="43.5" customHeight="1" s="36">
      <c r="A11" s="53" t="n">
        <v>7</v>
      </c>
      <c r="B11" s="54" t="inlineStr">
        <is>
          <t>ASSESSMENT WEEK 1</t>
        </is>
      </c>
      <c r="C11" s="54" t="inlineStr">
        <is>
          <t>Mon 19 Oct 2026</t>
        </is>
      </c>
      <c r="D11" s="54" t="inlineStr">
        <is>
          <t>Tue 20 Oct 2026</t>
        </is>
      </c>
      <c r="E11" s="54" t="inlineStr">
        <is>
          <t>Fri 23 Oct 2026</t>
        </is>
      </c>
      <c r="F11" s="54" t="inlineStr">
        <is>
          <t>Fri 23 Oct 2026</t>
        </is>
      </c>
      <c r="G11" s="54" t="inlineStr">
        <is>
          <t>ASSESSMENT WEEK</t>
        </is>
      </c>
      <c r="H11" s="54" t="inlineStr">
        <is>
          <t>Practical Test 1 - Data Investigation (individual, offline, 2h25).</t>
        </is>
      </c>
    </row>
    <row r="12" ht="25.5" customHeight="1" s="36">
      <c r="A12" s="46" t="n">
        <v>8</v>
      </c>
      <c r="B12" s="47" t="inlineStr">
        <is>
          <t>Block 3 - The Machine Learning Core</t>
        </is>
      </c>
      <c r="C12" s="47" t="inlineStr">
        <is>
          <t>Mon 26 Oct 2026</t>
        </is>
      </c>
      <c r="D12" s="47" t="inlineStr">
        <is>
          <t>Tue 27 Oct 2026</t>
        </is>
      </c>
      <c r="E12" s="47" t="inlineStr">
        <is>
          <t>Fri 30 Oct 2026</t>
        </is>
      </c>
      <c r="F12" s="47" t="inlineStr">
        <is>
          <t>Fri 30 Oct 2026</t>
        </is>
      </c>
      <c r="G12" s="47" t="inlineStr">
        <is>
          <t>Teaching</t>
        </is>
      </c>
      <c r="H12" s="47" t="n"/>
    </row>
    <row r="13" ht="25.5" customHeight="1" s="36">
      <c r="A13" s="46" t="n">
        <v>9</v>
      </c>
      <c r="B13" s="47" t="inlineStr">
        <is>
          <t>Block 3 - The Machine Learning Core</t>
        </is>
      </c>
      <c r="C13" s="47" t="inlineStr">
        <is>
          <t>Mon 02 Nov 2026</t>
        </is>
      </c>
      <c r="D13" s="47" t="inlineStr">
        <is>
          <t>Tue 03 Nov 2026</t>
        </is>
      </c>
      <c r="E13" s="47" t="inlineStr">
        <is>
          <t>Fri 06 Nov 2026</t>
        </is>
      </c>
      <c r="F13" s="47" t="inlineStr">
        <is>
          <t>Fri 06 Nov 2026</t>
        </is>
      </c>
      <c r="G13" s="47" t="inlineStr">
        <is>
          <t>Teaching</t>
        </is>
      </c>
      <c r="H13" s="47" t="n"/>
    </row>
    <row r="14" ht="25.5" customHeight="1" s="36">
      <c r="A14" s="46" t="n">
        <v>10</v>
      </c>
      <c r="B14" s="47" t="inlineStr">
        <is>
          <t>Block 3 - The Machine Learning Core</t>
        </is>
      </c>
      <c r="C14" s="47" t="inlineStr">
        <is>
          <t>Mon 09 Nov 2026</t>
        </is>
      </c>
      <c r="D14" s="47" t="inlineStr">
        <is>
          <t>Tue 10 Nov 2026</t>
        </is>
      </c>
      <c r="E14" s="47" t="inlineStr">
        <is>
          <t>Fri 13 Nov 2026</t>
        </is>
      </c>
      <c r="F14" s="47" t="inlineStr">
        <is>
          <t>Fri 13 Nov 2026</t>
        </is>
      </c>
      <c r="G14" s="47" t="inlineStr">
        <is>
          <t>Teaching</t>
        </is>
      </c>
      <c r="H14" s="47" t="n"/>
    </row>
    <row r="15" ht="25.5" customHeight="1" s="36">
      <c r="A15" s="46" t="n">
        <v>11</v>
      </c>
      <c r="B15" s="47" t="inlineStr">
        <is>
          <t>Block 4 - Practical Machine Learning Judgement</t>
        </is>
      </c>
      <c r="C15" s="47" t="inlineStr">
        <is>
          <t>Mon 16 Nov 2026</t>
        </is>
      </c>
      <c r="D15" s="47" t="inlineStr">
        <is>
          <t>Tue 17 Nov 2026</t>
        </is>
      </c>
      <c r="E15" s="47" t="inlineStr">
        <is>
          <t>Fri 20 Nov 2026</t>
        </is>
      </c>
      <c r="F15" s="47" t="inlineStr">
        <is>
          <t>Fri 20 Nov 2026</t>
        </is>
      </c>
      <c r="G15" s="47" t="inlineStr">
        <is>
          <t>Teaching</t>
        </is>
      </c>
      <c r="H15" s="47" t="n"/>
    </row>
    <row r="16" ht="25.5" customHeight="1" s="36">
      <c r="A16" s="46" t="n">
        <v>12</v>
      </c>
      <c r="B16" s="47" t="inlineStr">
        <is>
          <t>Block 4 - Practical Machine Learning Judgement</t>
        </is>
      </c>
      <c r="C16" s="47" t="inlineStr">
        <is>
          <t>Mon 23 Nov 2026</t>
        </is>
      </c>
      <c r="D16" s="47" t="inlineStr">
        <is>
          <t>Tue 24 Nov 2026</t>
        </is>
      </c>
      <c r="E16" s="47" t="inlineStr">
        <is>
          <t>Fri 27 Nov 2026</t>
        </is>
      </c>
      <c r="F16" s="47" t="inlineStr">
        <is>
          <t>Fri 27 Nov 2026</t>
        </is>
      </c>
      <c r="G16" s="47" t="inlineStr">
        <is>
          <t>Teaching</t>
        </is>
      </c>
      <c r="H16" s="47" t="n"/>
    </row>
    <row r="17" ht="25.5" customHeight="1" s="36">
      <c r="A17" s="46" t="n">
        <v>13</v>
      </c>
      <c r="B17" s="47" t="inlineStr">
        <is>
          <t>Block 5 - Engineering Project</t>
        </is>
      </c>
      <c r="C17" s="47" t="inlineStr">
        <is>
          <t>Mon 30 Nov 2026</t>
        </is>
      </c>
      <c r="D17" s="47" t="inlineStr">
        <is>
          <t>Tue 01 Dec 2026</t>
        </is>
      </c>
      <c r="E17" s="47" t="inlineStr">
        <is>
          <t>Fri 04 Dec 2026</t>
        </is>
      </c>
      <c r="F17" s="47" t="inlineStr">
        <is>
          <t>Fri 04 Dec 2026</t>
        </is>
      </c>
      <c r="G17" s="47" t="inlineStr">
        <is>
          <t>Teaching</t>
        </is>
      </c>
      <c r="H17" s="47" t="n"/>
    </row>
    <row r="18" ht="43.5" customHeight="1" s="36">
      <c r="A18" s="53" t="n">
        <v>14</v>
      </c>
      <c r="B18" s="54" t="inlineStr">
        <is>
          <t>ASSESSMENT WEEK 2</t>
        </is>
      </c>
      <c r="C18" s="54" t="inlineStr">
        <is>
          <t>Mon 07 Dec 2026</t>
        </is>
      </c>
      <c r="D18" s="54" t="inlineStr">
        <is>
          <t>Tue 08 Dec 2026</t>
        </is>
      </c>
      <c r="E18" s="54" t="inlineStr">
        <is>
          <t>Fri 11 Dec 2026</t>
        </is>
      </c>
      <c r="F18" s="54" t="inlineStr">
        <is>
          <t>Fri 11 Dec 2026</t>
        </is>
      </c>
      <c r="G18" s="54" t="inlineStr">
        <is>
          <t>ASSESSMENT WEEK</t>
        </is>
      </c>
      <c r="H18" s="54" t="inlineStr">
        <is>
          <t>Practical Test 2 - End-to-End Engineering ML (individual, offline, 2h25).</t>
        </is>
      </c>
    </row>
    <row r="19" ht="43.5" customHeight="1" s="36">
      <c r="A19" s="43" t="n">
        <v>15</v>
      </c>
      <c r="B19" s="44" t="inlineStr">
        <is>
          <t>Block 5 - Engineering Project</t>
        </is>
      </c>
      <c r="C19" s="44" t="inlineStr">
        <is>
          <t>Mon 14 Dec 2026</t>
        </is>
      </c>
      <c r="D19" s="44" t="inlineStr">
        <is>
          <t>Tue 15 Dec 2026</t>
        </is>
      </c>
      <c r="E19" s="44" t="inlineStr">
        <is>
          <t>Fri 18 Dec 2026</t>
        </is>
      </c>
      <c r="F19" s="44" t="inlineStr">
        <is>
          <t>Fri 18 Dec 2026</t>
        </is>
      </c>
      <c r="G19" s="44" t="inlineStr">
        <is>
          <t>Teaching / Demo</t>
        </is>
      </c>
      <c r="H19" s="44" t="inlineStr">
        <is>
          <t>Engineering ML Demo Day, individual viva sampling, reflection.</t>
        </is>
      </c>
    </row>
    <row r="21" ht="15" customHeight="1" s="36">
      <c r="A21" s="40" t="inlineStr">
        <is>
          <t>Teaching weeks: 13.  Assessment weeks: 2 (Weeks 7 and 14).  Contact hours per cohort: 45. Total lecturer contact: 9 hours per week — 3 on Tuesday and SIX BACK-TO-BACK ON FRIDAY, 08:00 to 14:00 with a room change and no gap. See Risk R16.</t>
        </is>
      </c>
    </row>
    <row r="22" ht="15" customHeight="1" s="36">
      <c r="A22" s="55" t="inlineStr">
        <is>
          <t>Colour key:  red = assessment week ·  amber = action required ·  green = demo day.</t>
        </is>
      </c>
    </row>
  </sheetData>
  <mergeCells count="4">
    <mergeCell ref="A2:G2"/>
    <mergeCell ref="A21:H21"/>
    <mergeCell ref="A1:G1"/>
    <mergeCell ref="A22:H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0AD47"/>
    <outlinePr summaryBelow="1" summaryRight="1"/>
    <pageSetUpPr fitToPage="0"/>
  </sheetPr>
  <dimension ref="A1:O19"/>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35" min="1" max="1"/>
    <col width="30" customWidth="1" style="35" min="2" max="2"/>
    <col width="34" customWidth="1" style="35" min="3" max="3"/>
    <col width="62" customWidth="1" style="35" min="4" max="4"/>
    <col width="78" customWidth="1" style="35" min="5" max="5"/>
    <col width="56" customWidth="1" style="35" min="6" max="6"/>
    <col width="50" customWidth="1" style="35" min="7" max="7"/>
    <col width="56" customWidth="1" style="35" min="8" max="9"/>
    <col width="44" customWidth="1" style="35" min="10" max="10"/>
    <col width="54" customWidth="1" style="35" min="11" max="11"/>
    <col width="40" customWidth="1" style="35" min="12" max="12"/>
    <col width="46" customWidth="1" style="35" min="13" max="13"/>
    <col width="66" customWidth="1" style="35" min="14" max="14"/>
    <col width="52" customWidth="1" style="35" min="15" max="15"/>
  </cols>
  <sheetData>
    <row r="1" ht="25.5" customHeight="1" s="36">
      <c r="A1" s="37" t="inlineStr">
        <is>
          <t>Master Plan — the shared 70% machine learning core</t>
        </is>
      </c>
    </row>
    <row r="2" ht="18" customHeight="1" s="36">
      <c r="A2" s="38" t="inlineStr">
        <is>
          <t>Taught identically to all three cohorts. Prepare once. The discipline overlay lives on the three cohort sheets.</t>
        </is>
      </c>
    </row>
    <row r="4" ht="39.75" customHeight="1" s="36">
      <c r="A4" s="42" t="inlineStr">
        <is>
          <t>Week</t>
        </is>
      </c>
      <c r="B4" s="42" t="inlineStr">
        <is>
          <t>Block / Phase</t>
        </is>
      </c>
      <c r="C4" s="42" t="inlineStr">
        <is>
          <t>Topic</t>
        </is>
      </c>
      <c r="D4" s="42" t="inlineStr">
        <is>
          <t>Learning objectives (by the end of the session, students can…)</t>
        </is>
      </c>
      <c r="E4" s="42" t="inlineStr">
        <is>
          <t>3-hour session structure</t>
        </is>
      </c>
      <c r="F4" s="42" t="inlineStr">
        <is>
          <t>Concepts introduced</t>
        </is>
      </c>
      <c r="G4" s="42" t="inlineStr">
        <is>
          <t>Tools introduced</t>
        </is>
      </c>
      <c r="H4" s="42" t="inlineStr">
        <is>
          <t>Practical / lab</t>
        </is>
      </c>
      <c r="I4" s="42" t="inlineStr">
        <is>
          <t>Interactive challenge</t>
        </is>
      </c>
      <c r="J4" s="42" t="inlineStr">
        <is>
          <t>Assignment</t>
        </is>
      </c>
      <c r="K4" s="42" t="inlineStr">
        <is>
          <t>Weekly quiz (QR, auto-graded)</t>
        </is>
      </c>
      <c r="L4" s="42" t="inlineStr">
        <is>
          <t>Project milestone</t>
        </is>
      </c>
      <c r="M4" s="42" t="inlineStr">
        <is>
          <t>Assessment relevance</t>
        </is>
      </c>
      <c r="N4" s="42" t="inlineStr">
        <is>
          <t>Lecturer preparation</t>
        </is>
      </c>
      <c r="O4" s="42" t="inlineStr">
        <is>
          <t>Required resources</t>
        </is>
      </c>
    </row>
    <row r="5" ht="199.5" customHeight="1" s="36">
      <c r="A5" s="46" t="n">
        <v>1</v>
      </c>
      <c r="B5" s="47" t="inlineStr">
        <is>
          <t>Block 1 - Orientation &amp; Computational Thinking</t>
        </is>
      </c>
      <c r="C5" s="47" t="inlineStr">
        <is>
          <t>The engineering problem that needs data</t>
        </is>
      </c>
      <c r="D5" s="47" t="inlineStr">
        <is>
          <t>• Distinguish artificial intelligence, machine learning and data science, and place each in an engineering workflow.
• Contrast rule-based programming (we write the rule) with machine learning (we supply examples and the rule is inferred).
• State three problems in their own discipline that are plausibly ML-tractable, and two that are not, with reasons.
• Classify a problem informally as prediction of a quantity or prediction of a category.
• Explain how the course is assessed and what a finished project looks like.</t>
        </is>
      </c>
      <c r="E5" s="47" t="inlineStr">
        <is>
          <t>• 0:00-0:25  Course contract: the year's arc, the assessment model, the AI-use policy, the promise ('by December you can investigate an engineering dataset unaided').
• 0:25-1:05  Concept, no code: a real engineering question is posed; students attempt it by hand from a 12-row printed data extract; the class discovers it is guessing a pattern from examples. Rules vs learning is named only after they have done it.
• 1:05-1:25  Show the destination: a walkthrough of a completed student-level project (notebook, charts, model, 2-page brief) so the target is concrete from day one.
• 1:25-2:25  CHALLENGE - Problem Hunt. Teams of 4-5 are formed here and stay for the semester. Each team lists 6 problems from their discipline, then sorts them into quantity / category / not-an-ML-problem and must justify every placement.
• 2:25-2:50  Gallery walk. Teams critique two other teams' boards; the lecturer harvests the best problems into a live class list used later for project selection.
• 2:50-3:00  Environment homework issued, team charters signed, class channel joined.
• LAST FIVE MINUTES — QUIZ 1 - what machine learning is. Open the Form, project the QR, give it exactly five minutes, close it, and show the cohort's score distribution before they leave. Worth 1%, best 10 of 12 count, no resits. If the network is down, convert it to a 24-hour link and say so out loud.</t>
        </is>
      </c>
      <c r="F5" s="47" t="inlineStr">
        <is>
          <t>• Data, row, column, feature, target/label.
• Pattern vs rule; interpolation vs extrapolation.
• Prediction vs explanation - and why an engineer usually needs both.
• Regression vs classification (informal, by example only).
• The four honest limits of ML: no data, no signal, physics is better, and the future is not like the past.</t>
        </is>
      </c>
      <c r="G5" s="47" t="inlineStr">
        <is>
          <t>• No installation yet - accounts only, so nobody is blocked by a laptop.
• GitHub account (username convention published).
• Kaggle account.
• Class channel (Teams / WhatsApp) and the shared course drive.
• Framing device used all semester: for every tool we ask 'what problem does this tool solve?'</t>
        </is>
      </c>
      <c r="H5" s="47" t="inlineStr">
        <is>
          <t>Paper-based prediction exercise. Teams receive a 12-row printed extract of the cohort's anchor dataset with the 13th row's target hidden. They predict it, write down the reasoning, then compare with the true value and quantify their own error. This produces the words 'feature', 'target' and 'error' from the students rather than from the lecturer.</t>
        </is>
      </c>
      <c r="I5" s="47" t="inlineStr">
        <is>
          <t>Problem Hunt (see structure). Deliberately unguided: no template, no worked example. The lecturer only asks questions.</t>
        </is>
      </c>
      <c r="J5" s="47" t="inlineStr">
        <is>
          <t>A1 (one page): 'Three problems, one dataset' - three candidate ML problems from their discipline, the data each would need, and where that data might come from. PLUS the environment install checklist to be completed before Week 2.</t>
        </is>
      </c>
      <c r="K5" s="47" t="inlineStr">
        <is>
          <t>QUIZ 1 - what machine learning is
Features and target read off a table, regression told from classification, and one of the four limits applied to a stated situation. This one runs on phones at the end of a paper session, which also gets every student through the QR mechanism once in week one.</t>
        </is>
      </c>
      <c r="L5" s="47" t="inlineStr">
        <is>
          <t>Project teams formed and registered. Team charter signed (roles, contact, meeting slot, conflict rule).</t>
        </is>
      </c>
      <c r="M5" s="47" t="inlineStr">
        <is>
          <t>A1 contributes to Practical Challenges &amp; Assignments (10%). Marked pass / redo - the point is engagement, not polish.</t>
        </is>
      </c>
      <c r="N5" s="47" t="inlineStr">
        <is>
          <t>• Print the 12-row dataset extracts (one per team) and the Problem Hunt board sheets.
• Build and rehearse the demonstration project that will be shown at 1:05.
• Create the GitHub organisation / GitHub Classroom and publish the username convention.
• Prepare the install guide PDF and the BYOD/laptop-access survey.
• Pre-allocate teams from the class roster to avoid 25 minutes of milling.</t>
        </is>
      </c>
      <c r="O5" s="47" t="inlineStr">
        <is>
          <t>• Projector, whiteboard, marker pens, flipchart or A3 sheets.
• Printed dataset extracts, printed install guide, printed course outline.
• Laptop-access survey (paper, for 100% return).
• No student computers required this week - by design.</t>
        </is>
      </c>
    </row>
    <row r="6" ht="199.5" customHeight="1" s="36">
      <c r="A6" s="48" t="n">
        <v>2</v>
      </c>
      <c r="B6" s="49" t="inlineStr">
        <is>
          <t>Block 1 - Orientation &amp; Computational Thinking</t>
        </is>
      </c>
      <c r="C6" s="49" t="inlineStr">
        <is>
          <t>Colab notebooks and version control</t>
        </is>
      </c>
      <c r="D6" s="49" t="inlineStr">
        <is>
          <t>• Open and run a notebook in Colab.
• Explain cells, kernel state and Restart and Run All.
• Read error messages and repair four simple failures.
• Create a GitHub repository and save a notebook with a useful commit message.</t>
        </is>
      </c>
      <c r="E6" s="49" t="inlineStr">
        <is>
          <t>• 0:00-0:30 Recall and tool map.
• 0:30-1:40 Notebook practical and execution order.
• 1:40-1:50 Break.
• 1:50-2:40 Git explanation and repository practical.
• 2:40-2:50 Break and Fix in groups; finish repairs after class.
• 2:50-2:55 Five-question quiz.
• 2:55-3:00 A2 and exit check.
• LAST FIVE MINUTES — QUIZ 2 - notebooks and version control. Open the Form, project the QR, give it exactly five minutes, close it, and show the cohort's score distribution before they leave. Worth 1%, best 10 of 12 count, no resits. If the network is down, convert it to a 24-hour link and say so out loud.</t>
        </is>
      </c>
      <c r="F6" s="49" t="inlineStr">
        <is>
          <t>• Cell, kernel, hidden state and reproducibility.
• Working directory and relative path.
• Repository, staging, commit, push and README.</t>
        </is>
      </c>
      <c r="G6" s="49" t="inlineStr">
        <is>
          <t>• Google Colab is the primary route.
• GitHub stores the work and its history.
• Pre-provisioned Jupyter lab machines are the connection fallback.</t>
        </is>
      </c>
      <c r="H6" s="49" t="inlineStr">
        <is>
          <t>Use setup/&lt;cohort&gt;/proof_of_life.ipynb and its four-row CSV. Run, predict repeated execution, restart and run all, then save to GitHub.</t>
        </is>
      </c>
      <c r="I6" s="49" t="inlineStr">
        <is>
          <t>Repair the four supplied notebooks: unavailable import, wrong Python-version expectation, wrong path and hidden state. Explain each cause in one sentence.</t>
        </is>
      </c>
      <c r="J6" s="49" t="inlineStr">
        <is>
          <t>A2 Proof of Life: submit the repository URL and named notebook through the assignment form. Upload the README; keep the CSV in your repository. See setup/A2_assignment_brief.md. Due at the start of Week 3.</t>
        </is>
      </c>
      <c r="K6" s="49" t="inlineStr">
        <is>
          <t>QUIZ 2 - notebooks and version control
Out-of-order execution diagnosed from a cell-numbering trace, what Restart and Run All proves, and reading one git status output. A2 separately checks readiness for Week 3.</t>
        </is>
      </c>
      <c r="L6" s="49" t="inlineStr">
        <is>
          <t>Each student has a working notebook and repository. Team collaboration continues from Week 1.</t>
        </is>
      </c>
      <c r="M6" s="49" t="inlineStr">
        <is>
          <t>A2 is one of eleven challenges, best eight contributing 10%. The Week 2 quiz is one of twelve quizzes, best ten contributing 10%.</t>
        </is>
      </c>
      <c r="N6" s="49" t="inlineStr">
        <is>
          <t>• Rehearse Colab sign-in and the lab fallback with a student account.
• Distribute the small cohort ZIP from setup/ before class.
• Run setup/check_setup.py on lab machines.
• Check the Week 2 form and displayed deadline. Brief floor helpers.</t>
        </is>
      </c>
      <c r="O6" s="49" t="inlineStr">
        <is>
          <t>• Laptop or provisioned lab computer, charger, cohort ZIP and a printed copy of setup/README.md.
• USB/local-share copy for connection outages.</t>
        </is>
      </c>
    </row>
    <row r="7" ht="199.5" customHeight="1" s="36">
      <c r="A7" s="46" t="n">
        <v>3</v>
      </c>
      <c r="B7" s="47" t="inlineStr">
        <is>
          <t>Block 1 - Orientation &amp; Computational Thinking</t>
        </is>
      </c>
      <c r="C7" s="47" t="inlineStr">
        <is>
          <t>Python as an engineering calculator</t>
        </is>
      </c>
      <c r="D7" s="47" t="inlineStr">
        <is>
          <t>• Use variables, numeric and string types, and operators correctly, including integer vs float division.
• Write conditional logic that implements an engineering decision rule.
• Define and call a function with parameters, a return value and a docstring.
• Convert a formula from their own discipline into a tested function.
• Read a Python traceback and locate the offending line.
• Check unit consistency and reject a numerically valid but physically wrong answer.</t>
        </is>
      </c>
      <c r="E7" s="47" t="inlineStr">
        <is>
          <t>• 0:00-0:30  Concept driven by a formula the students already know from their own programme. The formula is written on the board first; Python notation is introduced only as a way of writing it down.
• 0:30-0:55  Live coding: the same formula becomes a function with parameters, a return value, a docstring and two test values. The lecturer makes one deliberate unit error and lets the class catch it.
• 0:55-2:05  PRACTICAL - Discipline Function Library. Each student writes five functions from their own field, each with a docstring, stated units and two test values with expected answers.
• 2:05-2:40  CHALLENGE - Wrong Answer Hunt. Six functions are supplied that all run without error but return wrong answers: integer division, operator precedence, degrees vs radians, a mis-set if/elif boundary, a mutated input, and a unit mismatch. Teams must find, name and fix all six.
• 2:40-3:00  Debugger demonstration (breakpoint, step, inspect a variable) and assignment issued.
• LAST FIVE MINUTES — QUIZ 3 - Python as an engineering calculator. Open the Form, project the QR, give it exactly five minutes, close it, and show the cohort's score distribution before they leave. Worth 1%, best 10 of 12 count, no resits. If the network is down, convert it to a 24-hour link and say so out loud.</t>
        </is>
      </c>
      <c r="F7" s="47" t="inlineStr">
        <is>
          <t>• int, float, str, bool; casting; integer vs true division.
• Operator precedence; comparison and logical operators.
• if / elif / else as an encoded engineering decision rule.
• Function definition, parameters, arguments, return vs print, local scope.
• Docstrings and self-documenting code; units as part of the interface.
• Traceback anatomy; assertion as a cheap test.</t>
        </is>
      </c>
      <c r="G7" s="47" t="inlineStr">
        <is>
          <t>• Jupyter and VS Code (both, so the choice becomes a habit not a mystery).
• The VS Code debugger: breakpoint, step over, inspect variables.
• Git: a commit per working function, so history shows the build.
• AI assistant, first supervised use: students may ask it to EXPLAIN an error message, but not to write a function. The distinction is enforced and discussed.</t>
        </is>
      </c>
      <c r="H7" s="47" t="inlineStr">
        <is>
          <t>Discipline Function Library (see structure), committed to the team repository as functions.py plus a notebook that imports and demonstrates it. Core tier: 5 working functions. Stretch tier: add input validation that raises a clear error for physically impossible inputs.</t>
        </is>
      </c>
      <c r="I7" s="47" t="inlineStr">
        <is>
          <t>Wrong Answer Hunt - six silently wrong functions. Chosen because 'it ran, therefore it is right' is the single most dangerous belief a beginner can form, and it is fatal later in model evaluation.</t>
        </is>
      </c>
      <c r="J7" s="47" t="inlineStr">
        <is>
          <t>A3: complete the five tasks in practicals/W03/&lt;cohort&gt;/W03_student.ipynb. The broader function library is practice. Submit the named notebook through the assignment form.</t>
        </is>
      </c>
      <c r="K7" s="47" t="inlineStr">
        <is>
          <t>QUIZ 3 - Python as an engineering calculator
A unit error that returns a plausible wrong number, a function that returns nothing because it prints instead, an if-chain whose branches are in the wrong order, and one traceback.</t>
        </is>
      </c>
      <c r="L7" s="47" t="inlineStr">
        <is>
          <t>Team repository has a working code file and a commit history with more than one contributor.</t>
        </is>
      </c>
      <c r="M7" s="47" t="inlineStr">
        <is>
          <t>A3 contributes to Practical Challenges &amp; Assignments (10%). Function-writing and traceback-reading are directly examined in Practical Test 1 (Week 7).</t>
        </is>
      </c>
      <c r="N7" s="47" t="inlineStr">
        <is>
          <t>• Write the cohort-specific formula set and confirm every formula against a textbook or standard - a wrong formula here destroys credibility.
• Author the six Wrong Answer Hunt functions and a marking key naming each bug.
• Prepare a worked solution to the function library at both core and stretch tiers.
• Prepare the debugger demonstration and rehearse it - a fumbled debugger demo teaches students to avoid the debugger.</t>
        </is>
      </c>
      <c r="O7" s="47" t="inlineStr">
        <is>
          <t>• Computers, projector, printed formula sheet for the cohort.
• Printed Python syntax cheat sheet (one page, both sides).
• Wrong Answer Hunt notebook distributed offline via USB or the network share.</t>
        </is>
      </c>
    </row>
    <row r="8" ht="199.5" customHeight="1" s="36">
      <c r="A8" s="48" t="n">
        <v>4</v>
      </c>
      <c r="B8" s="49" t="inlineStr">
        <is>
          <t>Block 1 - Orientation &amp; Computational Thinking</t>
        </is>
      </c>
      <c r="C8" s="49" t="inlineStr">
        <is>
          <t>Python for problem solving: collections, loops and files</t>
        </is>
      </c>
      <c r="D8" s="49" t="inlineStr">
        <is>
          <t>• Choose between a list and a dictionary for a given engineering record and justify the choice.
• Iterate over a collection with for and while, using the accumulator pattern.
• Read a CSV file and compute summary statistics without any data-science library.
• Catch and interpret exceptions, and fail informatively rather than silently.
• Decompose an open-ended data question into an ordered sequence of steps before writing code.
• Report a finding from data they were given no instructions about.</t>
        </is>
      </c>
      <c r="E8" s="49" t="inlineStr">
        <is>
          <t>• 0:00-0:25  Concept: loops as 'do this to every measurement'. The motivating problem is 4,000 sensor readings and a question that cannot be answered by hand.
• 0:25-0:50  Demonstration: open a real CSV with open() and the csv module; compute count, mean, min, max; count out-of-range values. Deliberately done the hard way - this is the pain that makes pandas welcome in Week 5.
• 0:50-2:00  PRACTICAL - Reading Report. Students build a script that ingests a data file and writes a plain-text summary: per-column count/mean/min/max, number of out-of-range values against a stated engineering limit, and the number of rows it had to skip because they were malformed.
• 2:00-2:40  INVESTIGATION LAB 1 - 'Find something interesting'. Teams receive an unfamiliar ~300-row file with no instructions, no column dictionary and no suggested method. The lecturer circulates and asks questions only.
• 2:40-3:00  Sixty-second findings pitch per team, then assignment issued.
• LAST FIVE MINUTES — QUIZ 4 - collections, loops and files. Open the Form, project the QR, give it exactly five minutes, close it, and show the cohort's score distribution before they leave. Worth 1%, best 10 of 12 count, no resits. If the network is down, convert it to a 24-hour link and say so out loud.</t>
        </is>
      </c>
      <c r="F8" s="49" t="inlineStr">
        <is>
          <t>• List, tuple, dictionary; indexing and slicing; nesting.
• for and while; the accumulator pattern; early exit.
• File I/O; delimiters; header rows; string-to-number conversion.
• try / except; exception types; failing loudly.
• Algorithmic decomposition: question -&gt; steps -&gt; code.
• The idea of a data dictionary, met by feeling its absence.</t>
        </is>
      </c>
      <c r="G8" s="49" t="inlineStr">
        <is>
          <t>• The csv module and open() - deliberately no pandas yet.
• The VS Code debugger on a loop, to watch an accumulator fill.
• Git: incremental commits during the build.</t>
        </is>
      </c>
      <c r="H8" s="49" t="inlineStr">
        <is>
          <t>Reading Report script (see structure). Core tier: handle a clean file. Stretch tier: survive a file containing blank lines, a stray text value in a numeric column and a duplicated header row - which is exactly what Week 6 formalises.</t>
        </is>
      </c>
      <c r="I8" s="49" t="inlineStr">
        <is>
          <t>INVESTIGATION LAB 1 - the first fully unguided session. The lecturer's only permitted moves are the question bank: What are you trying to find? Why that column? What does that number mean physically? How would you know if you were wrong? Students must produce a claim and the evidence for it.</t>
        </is>
      </c>
      <c r="J8" s="49" t="inlineStr">
        <is>
          <t>A4: the Reading Report notebook with four automatically checked summaries. See practicals/W04/&lt;cohort&gt;/README.md. The 150-word interpretation is formative practice.</t>
        </is>
      </c>
      <c r="K8" s="49" t="inlineStr">
        <is>
          <t>QUIZ 4 - collections, loops and files
An accumulator reset inside the loop, a range off-by-one, a value read from a file as a string, and a skipped-row count that was never reported.</t>
        </is>
      </c>
      <c r="L8" s="49" t="inlineStr">
        <is>
          <t>Each team submits a one-paragraph statement of the kind of engineering problem it wants to work on for the semester (not yet a dataset).</t>
        </is>
      </c>
      <c r="M8" s="49" t="inlineStr">
        <is>
          <t>A4 contributes to Practical Challenges &amp; Assignments (10%). Investigation Lab 1 is the direct rehearsal for Practical Test 1 in Week 7 and establishes the no-spoon-feeding norm.</t>
        </is>
      </c>
      <c r="N8" s="49" t="inlineStr">
        <is>
          <t>• AUTHOR the ~300-row Investigation Lab file: it must contain one genuine, findable, discipline-relevant story plus two red herrings and some realistic dirt. Build a lecturer key listing every finding a good team could reach.
• Prepare the question bank as a printed card to carry while circulating - it prevents the lecturer from accidentally giving answers.
• Prepare the malformed-file variant for the stretch tier.
• Brief floor helpers that they must ask questions, not fix code.</t>
        </is>
      </c>
      <c r="O8" s="49" t="inlineStr">
        <is>
          <t>• Computers, the Investigation Lab data file distributed offline.
• Printed question-bank cards.
• Timer visible to the room - the pitch round must not overrun.
• Flipchart for the findings pitches.</t>
        </is>
      </c>
    </row>
    <row r="9" ht="199.5" customHeight="1" s="36">
      <c r="A9" s="46" t="n">
        <v>5</v>
      </c>
      <c r="B9" s="47" t="inlineStr">
        <is>
          <t>Block 2 - Engineering Data</t>
        </is>
      </c>
      <c r="C9" s="47" t="inlineStr">
        <is>
          <t>NumPy and pandas: the engineer's data table, and where data comes from</t>
        </is>
      </c>
      <c r="D9" s="47" t="inlineStr">
        <is>
          <t>• Create arrays and perform vectorised arithmetic, and explain why it replaces an explicit loop.
• Load a CSV into a DataFrame and profile it with shape, dtypes, info, head and describe.
• Select rows and columns with .loc and .iloc and filter with boolean conditions.
• Group and aggregate to answer a comparison question.
• Create a derived column that encodes engineering knowledge.
• Find a dataset on Kaggle or the UCI repository, read its documentation, and state its provenance, licence and limitations before using it.</t>
        </is>
      </c>
      <c r="E9" s="47" t="inlineStr">
        <is>
          <t>• 0:00-0:25  Concept: the Week 4 Reading Report is rewritten in four lines of pandas, side by side with the 60-line version. The case for the tool is made by the tool.
• 0:25-0:55  Demonstration on the cohort anchor dataset: load, profile, select, filter, group, derive, save.
• 0:55-2:00  PRACTICAL - Twelve Questions. A guided interrogation of the anchor dataset: twelve real engineering questions, each answerable in one to four lines of pandas. Answers must be stated in physical units, not as raw output.
• 2:00-2:20  Where data comes from: Kaggle, UCI, government and open engineering repositories. How to read a dataset card; licence, provenance, collection method, and the question 'can this data actually answer my question?'
• 2:20-2:45  CHALLENGE - Ten Questions, No Help. Teams get an unfamiliar dataset and 25 minutes to answer ten questions. No lecturer assistance, no internet search of the answers.
• 2:45-3:00  DATA ANALYSIS PROJECT brief released (due Week 8).
• LAST FIVE MINUTES — QUIZ 5 - pandas and judging a dataset. Open the Form, project the QR, give it exactly five minutes, close it, and show the cohort's score distribution before they leave. Worth 1%, best 10 of 12 count, no resits. If the network is down, convert it to a 24-hour link and say so out loud.</t>
        </is>
      </c>
      <c r="F9" s="47" t="inlineStr">
        <is>
          <t>• ndarray, vectorisation, elementwise operations, broadcasting (light).
• DataFrame, Series, index, dtype.
• .loc vs .iloc; boolean masking; chained conditions.
• groupby and aggregation; sorting; value_counts.
• Derived / engineered columns.
• Dataset provenance, licence, collection method, fitness for purpose.</t>
        </is>
      </c>
      <c r="G9" s="47" t="inlineStr">
        <is>
          <t>• NumPy.
• pandas.
• Kaggle (search, dataset cards, download, public notebooks as worked examples).
• UCI Machine Learning Repository and the ucimlrepo package.
• Jupyter as the primary surface from this week onward.</t>
        </is>
      </c>
      <c r="H9" s="47" t="inlineStr">
        <is>
          <t>Twelve Questions interrogation notebook on the anchor dataset (see structure). Core tier: answer all twelve. Stretch tier: add two questions of their own and answer them.</t>
        </is>
      </c>
      <c r="I9" s="47" t="inlineStr">
        <is>
          <t>Ten Questions, No Help - a timed, unassisted interrogation of an unfamiliar dataset. Directly calibrates students against the Week 7 test format.</t>
        </is>
      </c>
      <c r="J9" s="47" t="inlineStr">
        <is>
          <t>A5: complete the six automatically checked campus-energy tasks in practicals/W05/&lt;cohort&gt;/W05_student.ipynb. The Twelve Questions anchor-data investigation remains practice.</t>
        </is>
      </c>
      <c r="K9" s="47" t="inlineStr">
        <is>
          <t>QUIZ 5 - pandas and judging a dataset
A mask confused with a filtered frame, a groupby result whose shape is misread, a dtype of 'object' on a numeric column, and one question on where a dataset came from.</t>
        </is>
      </c>
      <c r="L9" s="47" t="inlineStr">
        <is>
          <t>DATA ANALYSIS PROJECT launched. Each team selects a dataset from the approved list (or proposes one for approval), and registers the engineering question it will answer.</t>
        </is>
      </c>
      <c r="M9" s="47" t="inlineStr">
        <is>
          <t>A5 contributes to Practical Challenges &amp; Assignments (10%). The Data Analysis Project is 10% in its own right. pandas fluency is the core of Practical Test 1 (Week 7).</t>
        </is>
      </c>
      <c r="N9" s="47" t="inlineStr">
        <is>
          <t>• MITIGATION REQUIRED for the Friday cohorts: Fri 09 Oct 2026 is Uganda Independence Day. Publish this session as a recorded walkthrough plus the Twelve Questions notebook by Wed 07 Oct, hold a 45-minute online clinic, and open Week 6 with a 30-minute consolidation. Alternatively secure a Faculty-approved make-up slot.
• Prepare the side-by-side loops-vs-pandas comparison.
• Author the Twelve Questions with a marked-up solution and expected physical units.
• Assemble the approved dataset list for the Data Analysis Project, with every link verified in the week of use.
• Pre-download all datasets to the network share - do not rely on Kaggle being reachable in class.</t>
        </is>
      </c>
      <c r="O9" s="47" t="inlineStr">
        <is>
          <t>• Computers; datasets pre-staged offline; pandas cheat sheet (printed).
• Recording equipment / screen capture for the Friday-cohort mitigation package.
• Approved dataset list handout with licences stated.
• Data Analysis Project brief and rubric (published, not summarised verbally).</t>
        </is>
      </c>
    </row>
    <row r="10" ht="199.5" customHeight="1" s="36">
      <c r="A10" s="48" t="n">
        <v>6</v>
      </c>
      <c r="B10" s="49" t="inlineStr">
        <is>
          <t>Block 2 - Engineering Data</t>
        </is>
      </c>
      <c r="C10" s="49" t="inlineStr">
        <is>
          <t>Dirty data, and seeing it: data quality through visualisation</t>
        </is>
      </c>
      <c r="D10" s="49" t="inlineStr">
        <is>
          <t>• Profile a dataset for missing values, duplicates, impossible values, wrong data types and outliers.
• Choose and justify a handling strategy for each defect, and state its effect on the conclusion.
• Produce histograms, box plots, scatter plots, line charts and a correlation heatmap, correctly labelled with units.
• Use a chart as an instrument of detection, not decoration - every chart answers a stated question.
• Distinguish a measurement error from a real and physically interesting extreme value.
• Write a short data quality statement for a dataset.</t>
        </is>
      </c>
      <c r="E10" s="49" t="inlineStr">
        <is>
          <t>• 0:00-0:15  Recall. Friday cohorts instead use 0:00-0:30 for Week 5 consolidation.
• 0:15-0:30  Why data defects matter (Friday 0:30-0:45).
• 0:30-0:55  Six defect classes and plausible causes (Friday 0:45-1:10).
• 0:55-1:20  Charts that find problems (Friday 1:10-1:20, using prepared examples).
• 1:20-1:30  Break, all cohorts.
• 1:30-2:05  PRACTICAL: Data Clinic. Find defects, apply a defensible handling strategy and justify each decision. Same 35 minutes for every cohort.
• 2:05-2:20  Frame the difference between measurement error and real behaviour.
• 2:20-2:40  Outlier Argument: discuss five flagged values, including two ambiguous cases.
• 2:40-3:00  Synthesis, Test 1 briefing, weekly assignment instructions and five-minute quiz.
• LAST FIVE MINUTES — QUIZ 6 - dirty data, and seeing it. Open the Form, project the QR, give it exactly five minutes, close it, and show the cohort's score distribution before they leave. Worth 1%, best 10 of 12 count, no resits. If the network is down, convert it to a 24-hour link and say so out loud.</t>
        </is>
      </c>
      <c r="F10" s="49" t="inlineStr">
        <is>
          <t>• Missingness: absent, zero-coded, sentinel-coded (-999), and missing-not-at-random.
• Deletion vs imputation (mean, median, forward-fill) and what each assumes.
• Duplicates: exact and near.
• Impossible values and physical range checks.
• Outliers: IQR and z-score screening, and their limits.
• dtype repair; dates and categories.
• Chart grammar: axis labels, units, titles as questions, no chartjunk.
• Correlation, its coefficient, and the reasons it misleads.</t>
        </is>
      </c>
      <c r="G10" s="49" t="inlineStr">
        <is>
          <t>• matplotlib (figure, axes, labels, saving).
• seaborn (histplot, boxplot, scatterplot, heatmap, pairplot).
• pandas: isna, duplicated, clip, astype, fillna, dropna, describe.
• AI assistant, supervised use 2: students may ask for three alternative approaches to a cleaning problem with trade-offs - and must then choose and defend one themselves.</t>
        </is>
      </c>
      <c r="H10" s="49" t="inlineStr">
        <is>
          <t>Data Clinic on a damaged dataset (see structure). Deliverable: a cleaning notebook, a defect register table, and a five-line data quality statement. Core tier: find and fix the six planted defects. Stretch tier: quantify how much the headline conclusion changes under two different cleaning strategies.</t>
        </is>
      </c>
      <c r="I10" s="49" t="inlineStr">
        <is>
          <t>The Outlier Argument - forces a judgement call with no lookup answer, and rewards domain reasoning over technique.</t>
        </is>
      </c>
      <c r="J10" s="49" t="inlineStr">
        <is>
          <t>A6 / W06: use the issued cohort notebook and TASKS.md in assessment_banks/W06. Complete the cleaning, summary and audit interfaces plus the designated written-evidence cell. The broader Data Clinic and project work are practice and project development.</t>
        </is>
      </c>
      <c r="K10" s="49" t="inlineStr">
        <is>
          <t>QUIZ 6 - dirty data, and seeing it
A zero-coded missing value, a chart that does not answer the stated question, and an extreme value that has to be judged as an error or a real measurement.</t>
        </is>
      </c>
      <c r="L10" s="49" t="inlineStr">
        <is>
          <t>Data Analysis Project: cleaned dataset and at least four question-driven charts committed to the repository.</t>
        </is>
      </c>
      <c r="M10" s="49" t="inlineStr">
        <is>
          <t>A6 contributes to Practical Challenges &amp; Assignments (10%). Cleaning judgement and chart quality are 40% of the Practical Test 1 rubric.</t>
        </is>
      </c>
      <c r="N10" s="49" t="inlineStr">
        <is>
          <t>• AUTHOR the damaged dataset: six planted defects, documented in a lecturer key, plus two ambiguous extremes with no clean answer.
• Select the five values for The Outlier Argument so that two are genuinely arguable, and prepare the domain reasoning for each.
• Prepare 'good chart / bad chart' pairs from the cohort's own domain for the chart grammar section.
• For the Friday cohorts, open with the 30-minute Week 5 consolidation - budget it in and cut the demonstration accordingly.
• Publish the Practical Test 1 format and rubric this week. Students must never meet a rubric for the first time in the test.</t>
        </is>
      </c>
      <c r="O10" s="49" t="inlineStr">
        <is>
          <t>• Computers; the damaged dataset offline; seaborn/matplotlib cheat sheet.
• Printed defect register template.
• Practical Test 1 information sheet and rubric for distribution.
• Colour printing or a good projector for the chart-quality comparison.</t>
        </is>
      </c>
    </row>
    <row r="11" ht="199.5" customHeight="1" s="36">
      <c r="A11" s="53" t="n">
        <v>7</v>
      </c>
      <c r="B11" s="54" t="inlineStr">
        <is>
          <t>ASSESSMENT WEEK 1</t>
        </is>
      </c>
      <c r="C11" s="54" t="inlineStr">
        <is>
          <t>PRACTICAL TEST 1 - Data Investigation (individual, offline)</t>
        </is>
      </c>
      <c r="D11" s="54" t="inlineStr">
        <is>
          <t>• Independently investigate an unfamiliar engineering dataset under time pressure.
• Profile, clean and justify, without a prescribed method.
• Answer stated questions with evidence and correct units.
• Produce charts that answer questions.
• Draw an engineering conclusion and state what further data would be needed.
• Explain their own reasoning in typed offline responses, without executing code or using AI.</t>
        </is>
      </c>
      <c r="E11" s="54" t="inlineStr">
        <is>
          <t>• 0:00-0:15  Seating, machine allocation, dataset variant distribution, rules read aloud, offline mode confirmed.
• 0:15-2:15  TEST, PART A (practical, 2 hours). Individual. An unfamiliar dataset from the cohort's domain plus a task sheet: load and profile; identify and handle defects with a written justification for each; answer three stated engineering questions with evidence; produce three charts, each captioned with the question it answers; list five findings; make one engineering recommendation.
• 2:15-2:40  TEST, PART B (written reasoning, 25 minutes, typed offline responses only; no code execution). Four short questions on their own submission: why that cleaning decision, what the chart does not show, what would change the conclusion, and what data is missing.
• 2:40-3:00  Collection, checksum of submissions, immediate structural check, dismissal.</t>
        </is>
      </c>
      <c r="F11" s="54" t="inlineStr">
        <is>
          <t>• No new concepts. Weeks 1-6 are examined: pandas, cleaning judgement, visualisation, engineering interpretation.
• Examined implicitly: the ability to proceed without instructions.</t>
        </is>
      </c>
      <c r="G11" s="54" t="inlineStr">
        <is>
          <t>• Permitted: Python, VS Code or Jupyter, pandas, NumPy, matplotlib, seaborn, and an OFFLINE documentation bundle.
• Prohibited: internet access, AI assistants, messaging and shared drives. Use the invigilated offline lab and approved-materials checks; offline access alone does not prevent a local AI assistant.
• Rationale published to students in Week 6: AI is permitted and encouraged in projects, where the work is explained and defended; it is excluded from the two tests, which certify unaided capability.</t>
        </is>
      </c>
      <c r="H11" s="54" t="inlineStr">
        <is>
          <t>The test is the practical. Duration 2h00 practical + 0h25 written. Three parallel dataset variants are issued in a checkerboard seating pattern to remove any benefit from collusion.</t>
        </is>
      </c>
      <c r="I11" s="54" t="inlineStr">
        <is>
          <t>The entire assessment is the challenge: an unfamiliar dataset, no prescribed method, and marks awarded for reasoning as much as for result.</t>
        </is>
      </c>
      <c r="J11" s="54" t="inlineStr">
        <is>
          <t>None issued. Week 8 pre-reading only (a two-page primer on the idea of fitting a line), so the test week carries no homework load.</t>
        </is>
      </c>
      <c r="K11" s="54" t="inlineStr">
        <is>
          <t>—</t>
        </is>
      </c>
      <c r="L11" s="54" t="inlineStr">
        <is>
          <t>Data Analysis Project continues outside class; due Week 8.</t>
        </is>
      </c>
      <c r="M11" s="54" t="inlineStr">
        <is>
          <t>PRACTICAL TEST 1 = 15% of the Semester 1 mark. Individual. Rubric: profiling 15, cleaning decisions and justification 20, visualisation 20, findings correctness 20, engineering interpretation 15, notebook clarity and reproducibility 10.</t>
        </is>
      </c>
      <c r="N11" s="54" t="inlineStr">
        <is>
          <t>• CAPACITY PLAN: confirm machine and seat availability against cohort size now. Cohort A (~100) will very likely require two sittings with different dataset variants, or a BYOD-plus-lab hybrid. Escalate to the Faculty in Week 1, not Week 6.
• Author three parallel dataset variants of matched difficulty, plus a model answer and a mark scheme for each.
• Build the offline bundle: datasets, offline pandas/seaborn documentation, task sheet. Test it on a machine with the network cable physically unplugged.
• Prepare the invigilation plan, seating chart, and a submission collection method that works without a network (USB collection or a local drop folder).
• Write a structural auto-check script (does the notebook run top to bottom? are the required sections present?) to make ~100 scripts markable in reasonable time.
• Agree the moderation plan and the late/absent policy with the Faculty in advance.</t>
        </is>
      </c>
      <c r="O11" s="54" t="inlineStr">
        <is>
          <t>• Invigilated lab, offline. Confirmed machine count. Spare machines and a power contingency.
• USB drives or a local drop folder for collection.
• Printed task sheets (one per variant) and typed notebook response cells for Part B.
• Second invigilator for any sitting above 40 students.
• Published rubric (issued Week 6).</t>
        </is>
      </c>
    </row>
    <row r="12" ht="199.5" customHeight="1" s="36">
      <c r="A12" s="48" t="n">
        <v>8</v>
      </c>
      <c r="B12" s="49" t="inlineStr">
        <is>
          <t>Block 3 - The Machine Learning Core</t>
        </is>
      </c>
      <c r="C12" s="49" t="inlineStr">
        <is>
          <t>Learning from data: the first model</t>
        </is>
      </c>
      <c r="D12" s="49" t="inlineStr">
        <is>
          <t>• Express an engineering question as a supervised learning task, naming the features and the target.
• Explain why data is split into training and test sets, using an argument a non-specialist would accept.
• Fit a linear regression, predict, and inspect the coefficients with appropriate caution.
• Compute MAE, RMSE and R-squared, and state the error in the physical units of the problem.
• Beat, or fail to beat, a trivial baseline - and interpret either outcome correctly.
• Explain why a good fit is not evidence of a causal mechanism.</t>
        </is>
      </c>
      <c r="E12" s="49" t="inlineStr">
        <is>
          <t>• 0:00-0:15  Practical Test 1 debrief: the three most common failures, shown anonymously, with the fix.
• 0:15-0:45  Concept: from 'draw the best line by eye' on the projector to 'minimise the total error', to the honest analogy for train/test - revising with the exam paper in front of you tells you nothing about what you know.
• 0:45-1:10  Demonstration: a complete regression in about fifteen lines on the anchor dataset. Every line is justified out loud. Predicted-vs-actual is plotted before any metric is quoted.
• 1:10-2:20  PRACTICAL - First Model. Students build, evaluate and interpret a regression on the cohort anchor dataset; then remove a feature, add a feature, and record what happens to the error in physical units.
• 2:20-2:45  CHALLENGE - Beat the Baseline. A leaderboard is run against a predict-the-mean baseline. Teams that beat it must explain why; teams that do not must diagnose why not. Both are valid outcomes and are marked the same way.
• 2:45-3:00  Data Analysis Project submitted. Engineering ML Project brief previewed.
• LAST FIVE MINUTES — QUIZ 7 - the first model. Open the Form, project the QR, give it exactly five minutes, close it, and show the cohort's score distribution before they leave. Worth 1%, best 10 of 12 count, no resits. If the network is down, convert it to a 24-hour link and say so out loud.</t>
        </is>
      </c>
      <c r="F12" s="49" t="inlineStr">
        <is>
          <t>• Supervised learning; feature matrix X and target vector y.
• Train/test split; random_state and reproducibility.
• Fitting, prediction, residual, loss.
• MAE, RMSE, R-squared - and which one an engineer should quote to a client.
• Error in physical units as the only honest report.
• Baseline models; the meaning of 'better than nothing'.
• Coefficients as association, not mechanism; correlation is not causation.</t>
        </is>
      </c>
      <c r="G12" s="49" t="inlineStr">
        <is>
          <t>• scikit-learn: train_test_split, LinearRegression, mean_absolute_error, mean_squared_error, r2_score.
• matplotlib for predicted-vs-actual and residual plots.
• The sklearn API pattern - fit / predict / score - named explicitly as the pattern that every model in the course will follow.</t>
        </is>
      </c>
      <c r="H12" s="49" t="inlineStr">
        <is>
          <t>First Model notebook (see structure). Core tier: a working, evaluated regression with the error stated in physical units. Stretch tier: a residual plot with a written interpretation of where the model is worst and a hypothesis as to why.</t>
        </is>
      </c>
      <c r="I12" s="49" t="inlineStr">
        <is>
          <t>Beat the Baseline. The baseline is the pedagogical device: it makes 'R-squared = 0.62' mean something, and it makes an unimpressive model an interesting result rather than a failure.</t>
        </is>
      </c>
      <c r="J12" s="49" t="inlineStr">
        <is>
          <t>A7 / W08: submit the issued cohort notebook with the regression/error interfaces and written interpretation of the supplied comparison. See assessment_banks/W08/&lt;cohort&gt;/A/TASKS.md.</t>
        </is>
      </c>
      <c r="K12" s="49" t="inlineStr">
        <is>
          <t>QUIZ 7 - the first model
A score quoted on the training rows, a residual plot read the wrong way round, MAE against RMSE on the same data, and a baseline nobody computed.</t>
        </is>
      </c>
      <c r="L12" s="49" t="inlineStr">
        <is>
          <t>DATA ANALYSIS PROJECT DUE (10%). Engineering ML Project brief previewed; teams begin scoping.</t>
        </is>
      </c>
      <c r="M12" s="49" t="inlineStr">
        <is>
          <t>A7 contributes to Practical Challenges (10%). Data Analysis Project is submitted and marked (10%). Regression, metrics and train/test are core to Practical Test 2 (Week 14).</t>
        </is>
      </c>
      <c r="N12" s="49" t="inlineStr">
        <is>
          <t>• Mark Practical Test 1 before this session, or at least identify the three common failures - the debrief is worth more than a marked script returned in Week 11.
• Rehearse the fifteen-line demonstration until it is flawless. This is the single most important demonstration of the semester.
• Prepare the baseline leaderboard (a shared sheet or a simple script) and pre-compute the baseline score.
• Prepare the two-page 'fitting a line' primer as pre-reading.
• Draft the Engineering ML Project brief and rubric for release in Week 9.</t>
        </is>
      </c>
      <c r="O12" s="49" t="inlineStr">
        <is>
          <t>• Computers; anchor dataset offline; projector.
• Leaderboard display.
• Printed sklearn API card (fit / predict / score / metrics).
• Marked or triaged Test 1 scripts for the debrief.</t>
        </is>
      </c>
    </row>
    <row r="13" ht="199.5" customHeight="1" s="36">
      <c r="A13" s="46" t="n">
        <v>9</v>
      </c>
      <c r="B13" s="47" t="inlineStr">
        <is>
          <t>Block 3 - The Machine Learning Core</t>
        </is>
      </c>
      <c r="C13" s="47" t="inlineStr">
        <is>
          <t>Classification: predicting which category a case belongs to</t>
        </is>
      </c>
      <c r="D13" s="47" t="inlineStr">
        <is>
          <t>• Distinguish a regression task from a classification task, and recognise when a continuous target should be banded.
• Fit and compare logistic regression, a decision tree and a random forest.
• Read a confusion matrix and name each of the four cells in the language of the engineering problem.
• Explain why accuracy is misleading under class imbalance, with a worked case.
• Choose between precision and recall by reasoning about the cost of each kind of mistake.
• Read a feature importance ranking with appropriate scepticism.</t>
        </is>
      </c>
      <c r="E13" s="47" t="inlineStr">
        <is>
          <t>• 0:00-0:25  Concept: the engineering decision problem. Two mistakes are put on the board with their real costs - a false alarm that stops production, and a missed failure that destroys a machine or hurts someone. Everything else follows from that asymmetry.
• 0:25-0:55  Demonstration: a decision tree shallow enough to draw on the board and read as an engineering rule; then the same problem with a random forest, and an honest statement of what was traded away.
• 0:55-2:00  PRACTICAL - Failure Classifier. Students build three classifiers on the cohort dataset, produce confusion matrices, and complete a cost table: what does each cell cost us, in money, downtime or safety?
• 2:00-2:40  CHALLENGE - The 97% Trap. Teams are handed a dataset and a model reporting 97% accuracy. They are told only that the plant manager is unhappy. They must discover the class imbalance, prove the model is useless, and propose a better metric. No hints.
• 2:40-3:00  ENGINEERING ML PROJECT brief and rubric released.
• LAST FIVE MINUTES — QUIZ 8 - classification. Open the Form, project the QR, give it exactly five minutes, close it, and show the cohort's score distribution before they leave. Worth 1%, best 10 of 12 count, no resits. If the network is down, convert it to a 24-hour link and say so out loud.</t>
        </is>
      </c>
      <c r="F13" s="47" t="inlineStr">
        <is>
          <t>• Class, label, decision boundary.
• Logistic regression and its probability output; the threshold as an engineering choice, not a constant.
• Decision trees: splits, depth, readability as a genuine advantage.
• Ensembles and random forests; variance reduction, intuitively.
• Confusion matrix; TP, FP, FN, TN in domain language.
• Accuracy, precision, recall, F1; the precision-recall trade-off.
• Class imbalance and stratification.
• Cost-sensitive thinking; feature importance and its instability.</t>
        </is>
      </c>
      <c r="G13" s="47" t="inlineStr">
        <is>
          <t>• scikit-learn: LogisticRegression, DecisionTreeClassifier, RandomForestClassifier, confusion_matrix, ConfusionMatrixDisplay, classification_report, plot_tree.
• seaborn for the confusion matrix heatmap.
• pandas for the cost table.</t>
        </is>
      </c>
      <c r="H13" s="47" t="inlineStr">
        <is>
          <t>Failure Classifier notebook with three models, three confusion matrices, a cost table and a written recommendation naming the metric the team would report to management and why. Core tier: three working models and correct confusion matrix reading. Stretch tier: move the decision threshold and show the precision-recall trade-off as a curve.</t>
        </is>
      </c>
      <c r="I13" s="47" t="inlineStr">
        <is>
          <t>The 97% Trap. Deliberately adversarial. It inoculates students against the single most common failure in applied ML, and it is a low-guidance session by design.</t>
        </is>
      </c>
      <c r="J13" s="47" t="inlineStr">
        <is>
          <t>A8 / W09: submit the issued cohort notebook with classification checks and written interpretation of the supplied cost scenario. See assessment_banks/W09/&lt;cohort&gt;/A/TASKS.md.</t>
        </is>
      </c>
      <c r="K13" s="47" t="inlineStr">
        <is>
          <t>QUIZ 8 - classification
A confusion matrix read for what the model does badly, an accuracy figure quoted without the class balance, and a threshold moved with its effect on each cell.</t>
        </is>
      </c>
      <c r="L13" s="47" t="inlineStr">
        <is>
          <t>ENGINEERING ML PROJECT launched (25%, runs to Week 15). Teams must register a problem statement, a candidate dataset and a named target variable by Week 10.</t>
        </is>
      </c>
      <c r="M13" s="47" t="inlineStr">
        <is>
          <t>A8 contributes to Practical Challenges (10%). The Engineering ML Project brief and rubric are now live. Classification and metric choice are examined in Practical Test 2.</t>
        </is>
      </c>
      <c r="N13" s="47" t="inlineStr">
        <is>
          <t>• Construct the 97% Trap dataset with a realistic imbalance (3-5% positive class) and a pre-built notebook that reports the misleading accuracy.
• Prepare a decision tree that is genuinely readable as an engineering rule - tune max_depth in advance so the board version is honest.
• Prepare the cost table template with cohort-specific cost categories.
• Finalise and publish the Engineering ML Project brief, rubric and milestone schedule.
• Prepare the approved project dataset list, with a route for teams proposing their own.</t>
        </is>
      </c>
      <c r="O13" s="47" t="inlineStr">
        <is>
          <t>• Computers; cohort classification dataset offline; projector and a large whiteboard for the drawn tree.
• Printed cost table template and confusion matrix card.
• Engineering ML Project brief and rubric (printed and posted).
• The 97% Trap notebook distributed offline.</t>
        </is>
      </c>
    </row>
    <row r="14" ht="199.5" customHeight="1" s="36">
      <c r="A14" s="48" t="n">
        <v>10</v>
      </c>
      <c r="B14" s="49" t="inlineStr">
        <is>
          <t>Block 3 - The Machine Learning Core</t>
        </is>
      </c>
      <c r="C14" s="49" t="inlineStr">
        <is>
          <t>Can I trust this model?</t>
        </is>
      </c>
      <c r="D14" s="49" t="inlineStr">
        <is>
          <t>• Diagnose overfitting and underfitting from the gap between training and test performance.
• Run k-fold cross-validation and report a mean with a spread, rather than a single number.
• Identify data leakage in a pipeline and name which of the four kinds it is.
• Rebuild a leaking workflow correctly using a Pipeline.
• Select a metric and defend the choice against a stated engineering consequence.
• State the conditions under which their own model should not be used.</t>
        </is>
      </c>
      <c r="E14" s="49" t="inlineStr">
        <is>
          <t>• 0:00-0:30  Concept: generalisation. Three error stories are told - the model that memorised, the model that never learned, and the model that cheated. Students must learn to tell them apart from evidence.
• 0:30-0:55  Demonstration: a tree depth sweep in which training accuracy rises to 1.0 while test accuracy falls. Then cross_val_score, and the discovery that a single train/test split was itself a noisy measurement.
• 0:55-2:00  PRACTICAL - Trust Lab. Students produce a validation curve, run 5-fold cross-validation, and then deliberately introduce two leaks: scaling before the split, and including a column that is only known after the outcome. They record the impossibly good score each leak produces, then fix both with a Pipeline.
• 2:00-2:40  CHALLENGE - Too Good To Be True. Teams receive a notebook reporting R-squared = 0.998 and must find out why. The planted causes differ by team: target leakage, duplicated rows spanning the split, and an identifier column correlated with the target.
• 2:40-3:00  Project Milestone 1 review, in team slots.
• LAST FIVE MINUTES — QUIZ 9 - can I trust this model?. Open the Form, project the QR, give it exactly five minutes, close it, and show the cohort's score distribution before they leave. Worth 1%, best 10 of 12 count, no resits. If the network is down, convert it to a 24-hour link and say so out loud.</t>
        </is>
      </c>
      <c r="F14" s="49" t="inlineStr">
        <is>
          <t>• Generalisation; the bias-variance idea, described without algebra.
• Overfitting, underfitting, and the diagnostic gap.
• Validation set vs test set; why the test set is spent only once.
• k-fold and stratified k-fold cross-validation; mean and standard deviation of a score.
• Data leakage: train-test contamination, target leakage, temporal leakage, group leakage.
• Pipeline as the structural fix for leakage, not merely as tidy code.
• Metric selection as an engineering decision.
• The domain of validity of a model; reproducibility and seeds.</t>
        </is>
      </c>
      <c r="G14" s="49" t="inlineStr">
        <is>
          <t>• scikit-learn: cross_val_score, KFold, StratifiedKFold, validation_curve, Pipeline, StandardScaler.
• matplotlib for the validation curve.
• AI assistant, supervised use 3 - the advanced prompt: 'review this pipeline for data leakage and explain any problem you find'. Students must verify the answer, and are marked on the verification.</t>
        </is>
      </c>
      <c r="H14" s="49" t="inlineStr">
        <is>
          <t>Trust Lab (see structure). Deliverable: a notebook containing the validation curve, cross-validation results reported as mean and standard deviation, two demonstrated leaks with their inflated scores, and the Pipeline-based fix. Core tier: all of the above. Stretch tier: a written 'conditions of use' statement for their own project model.</t>
        </is>
      </c>
      <c r="I14" s="49" t="inlineStr">
        <is>
          <t>Too Good To Be True. Three different planted causes across the room, so teams cannot copy a diagnosis. This is the highest-value single exercise in the semester: leakage is the defect most likely to appear in student projects and in professional practice.</t>
        </is>
      </c>
      <c r="J14" s="49" t="inlineStr">
        <is>
          <t>A9 / W10: submit the issued cohort notebook with group-split/preprocessing checks and written leakage/conditions-of-use evidence. The broader project Trust Lab remains project development.</t>
        </is>
      </c>
      <c r="K14" s="49" t="inlineStr">
        <is>
          <t>QUIZ 9 - can I trust this model?
Train and test scores matched to one of the three error stories, four pipelines with one that leaks, and a cross-validated score quoted without its spread. The highest-value quiz of the twelve, and worth protecting the five minutes for.</t>
        </is>
      </c>
      <c r="L14" s="49" t="inlineStr">
        <is>
          <t>PROJECT MILESTONE 1 (graded milestone): problem statement, dataset with licence, named target, and a baseline notebook. Each member's contribution log must be present in the repository.</t>
        </is>
      </c>
      <c r="M14" s="49" t="inlineStr">
        <is>
          <t>A9 contributes to Practical Challenges (10%). PM1 is a graded milestone within the Engineering ML Project (25%). Validation carries 15 of the 100 marks in the project rubric, and leakage control carries 20 of the 100 marks in the Practical Test 2 rubric.</t>
        </is>
      </c>
      <c r="N14" s="49" t="inlineStr">
        <is>
          <t>• Build three separate Too Good To Be True notebooks, one per planted cause, with a diagnosis key.
• Pre-run the depth sweep so the demonstration cannot fail live.
• Prepare the PM1 review slot booking sheet. For ~22 teams, run this as a 4-minute stand-up per team with a printed checklist, not a conversation.
• Prepare the contribution log template (who did what, with commit evidence).
• Draft the Practical Test 2 specification now, so Week 11-13 teaching can be aligned to it.</t>
        </is>
      </c>
      <c r="O14" s="49" t="inlineStr">
        <is>
          <t>• Computers; the three challenge notebooks offline; projector.
• Printed PM1 checklist and contribution log template.
• Printed leakage taxonomy card (four kinds, one example each).
• Timer for the PM1 stand-ups.</t>
        </is>
      </c>
    </row>
    <row r="15" ht="199.5" customHeight="1" s="36">
      <c r="A15" s="46" t="n">
        <v>11</v>
      </c>
      <c r="B15" s="47" t="inlineStr">
        <is>
          <t>Block 4 - Practical Machine Learning Judgement</t>
        </is>
      </c>
      <c r="C15" s="47" t="inlineStr">
        <is>
          <t>Features: where engineering knowledge enters the model</t>
        </is>
      </c>
      <c r="D15" s="47" t="inlineStr">
        <is>
          <t>• Encode categorical variables appropriately and explain why the encoding choice matters.
• Scale features and state which models are sensitive to scale and which are not.
• Construct a feature from domain knowledge and measure whether it helped.
• Select features defensibly, including by ablation.
• Assemble a leak-proof ColumnTransformer inside a Pipeline.
• Write a feature dictionary that another engineer could work from.</t>
        </is>
      </c>
      <c r="E15" s="47" t="inlineStr">
        <is>
          <t>• 0:00-0:25  Concept: the model knows only what it is fed. A feature is engineering knowledge written in a form the model can use - and it is the one place where a domain engineer beats a better programmer.
• 0:25-0:55  Demonstration: one-hot and ordinal encoding; StandardScaler inside a Pipeline; and then a single domain-derived feature that outperforms every raw column combined.
• 0:55-2:00  PRACTICAL - Feature Workshop. Students engineer five features from domain knowledge, then measure each one's contribution by ablation and tabulate the result. A feature that does not help must be reported, not deleted.
• 2:00-2:40  CHALLENGE - Domain Advantage. The room is split. Half of each pair of teams may use only the raw columns; the other half must invent features and may not add any new model. They compete, then explain the difference. The lesson lands because they generated the evidence.
• 2:40-3:00  Project Milestone 2 briefing.
• LAST FIVE MINUTES — QUIZ 10 - features. Open the Form, project the QR, give it exactly five minutes, close it, and show the cohort's score distribution before they leave. Worth 1%, best 10 of 12 count, no resits. If the network is down, convert it to a 24-hour link and say so out loud.</t>
        </is>
      </c>
      <c r="F15" s="47" t="inlineStr">
        <is>
          <t>• Categorical vs numeric vs ordinal; cardinality.
• One-hot and ordinal encoding; the dummy variable trap, briefly.
• Standardisation and min-max scaling; distance-based and gradient-based sensitivity vs tree-based indifference.
• Ratios, interactions, and dimensionless groups as features.
• Binning and thresholds derived from standards or codes of practice.
• Feature selection: correlation screening, importance, and ablation as the honest method.
• ColumnTransformer and Pipeline for mixed data types without leakage.
• The feature dictionary as a required project artefact.</t>
        </is>
      </c>
      <c r="G15" s="47" t="inlineStr">
        <is>
          <t>• scikit-learn: OneHotEncoder, OrdinalEncoder, StandardScaler, MinMaxScaler, ColumnTransformer, Pipeline, SelectKBest.
• pandas for feature construction and the ablation results table.
• Git: a branch per feature experiment, which is where branching finally has an obvious purpose.</t>
        </is>
      </c>
      <c r="H15" s="47" t="inlineStr">
        <is>
          <t>Feature Workshop (see structure). Deliverable: five engineered features, each with a stated physical rationale, plus an ablation table showing the effect of each on the chosen metric. Core tier: five features with the ablation table. Stretch tier: a feature that encodes a design code, standard or empirical relationship from their own discipline, with the reference cited.</t>
        </is>
      </c>
      <c r="I15" s="47" t="inlineStr">
        <is>
          <t>Domain Advantage - a controlled experiment run by the students on themselves, comparing raw data plus a better algorithm against domain knowledge plus a simple algorithm.</t>
        </is>
      </c>
      <c r="J15" s="47" t="inlineStr">
        <is>
          <t>A10 / W11: submit the issued cohort notebook with feature/error checks and written interpretation of the supplied ablation. Extend the method to your project separately.</t>
        </is>
      </c>
      <c r="K15" s="47" t="inlineStr">
        <is>
          <t>QUIZ 10 - features
An ablation table read for which feature earned its place, a one-hot encoding on a high-cardinality column, and a scaler that made no difference to a tree.</t>
        </is>
      </c>
      <c r="L15" s="47" t="inlineStr">
        <is>
          <t>PROJECT MILESTONE 2 briefed this week and due at the start of Week 12 (graded milestone): cleaned dataset, feature dictionary, and a first properly evaluated model inside a Pipeline.</t>
        </is>
      </c>
      <c r="M15" s="47" t="inlineStr">
        <is>
          <t>A10 contributes to Practical Challenges (10%). PM2 is a graded milestone within the project (25%). Engineering reasoning carries 20 of the 100 project marks, and feature construction is where it is most visible.</t>
        </is>
      </c>
      <c r="N15" s="47" t="inlineStr">
        <is>
          <t>• Identify, in advance, the one domain feature per cohort that clearly beats the raw columns - and verify it empirically before class. If the demonstration fails, the week's argument fails.
• Prepare the Domain Advantage pairing so that both conditions are genuinely competitive.
• Prepare the ablation table template and the feature dictionary template.
• Publish the Practical Test 2 specification and rubric this week.</t>
        </is>
      </c>
      <c r="O15" s="47" t="inlineStr">
        <is>
          <t>• Computers; cohort dataset offline.
• Printed feature dictionary and ablation table templates.
• Cohort-specific reference sheet of standards, codes or empirical relations that can legitimately become features.
• Practical Test 2 specification and rubric for distribution.</t>
        </is>
      </c>
    </row>
    <row r="16" ht="199.5" customHeight="1" s="36">
      <c r="A16" s="48" t="n">
        <v>12</v>
      </c>
      <c r="B16" s="49" t="inlineStr">
        <is>
          <t>Block 4 - Practical Machine Learning Judgement</t>
        </is>
      </c>
      <c r="C16" s="49" t="inlineStr">
        <is>
          <t>Model comparison and engineering judgement (low-guidance week)</t>
        </is>
      </c>
      <c r="D16" s="49" t="inlineStr">
        <is>
          <t>• Design a fair comparison in which only the model changes.
• Tune one or two hyperparameters using search inside cross-validation.
• Weigh accuracy against interpretability, data requirements, computational cost and failure behaviour.
• Write a one-page recommendation that a supervising engineer could act on.
• Defend a modelling choice under hostile questioning, and concede when the challenge is correct.</t>
        </is>
      </c>
      <c r="E16" s="49" t="inlineStr">
        <is>
          <t>• 0:00-0:10  Where we got to, and what is different about this week.
• 0:10-0:30  Concept: the comparison protocol. What must be held constant, what may vary, and why a leaderboard without a protocol is meaningless. Then the five selection criteria beyond accuracy.
• 0:30-0:45  Demonstration: exactly one worked GridSearchCV inside a Pipeline. Short by design - this week the students do the work.
• 0:45-0:55  BREAK.
• 0:55-2:35  ENGINEERING AI CHALLENGE - Choose a Model and Defend It. Teams receive an unfamiliar dataset and a brief from a fictional client. They must run at least four candidate models under an identical protocol, tabulate the results, and produce a one-page recommendation. Use 70 minutes for project practice and reserve 30 minutes for each student to complete the issued W12 notebook and written evidence. The later defence round gives formative feedback on the project recommendation.
• 2:35-2:50  DEFENCE ROUND. Each team presents its recommendation to another team, whose job is to attack it. Two challenges must be raised and answered. The lecturer gives formative feedback on the challenges and defences.
• 2:50-2:55  Project Milestone 3 briefing and W12 upload instructions.
• 2:55-3:00  WEEKLY QUIZ. Five questions; two revisit earlier weeks.
• LAST FIVE MINUTES — QUIZ 11 - model comparison (integrative). Open the Form, project the QR, give it exactly five minutes, close it, and show the cohort's score distribution before they leave. Worth 1%, best 10 of 12 count, no resits. If the network is down, convert it to a 24-hour link and say so out loud.</t>
        </is>
      </c>
      <c r="F16" s="49" t="inlineStr">
        <is>
          <t>• Comparison protocol; controlling the experiment.
• Parameters vs hyperparameters.
• Grid search and random search; search nested inside cross-validation.
• Variance of an estimate; when a difference in score is not a real difference.
• Selection criteria: accuracy, interpretability, training and inference cost, data hunger, and failure mode.
• Interpretability as a regulatory and professional requirement, not a preference.
• The engineering decision memo as a written form.</t>
        </is>
      </c>
      <c r="G16" s="49" t="inlineStr">
        <is>
          <t>• scikit-learn: GridSearchCV, RandomizedSearchCV, cross_validate, and the Pipeline as the unit of comparison.
• pandas for the results table.
• XGBoost / LightGBM: named and demonstrated for sixty seconds only, then explicitly deferred to Semester 2. Students are told why - the tool is not the lesson.
• AI assistant: permitted for this challenge, with every use logged. The recommendation must be defended orally, which is what makes the logging honest.</t>
        </is>
      </c>
      <c r="H16" s="49" t="inlineStr">
        <is>
          <t>The challenge is the practical. Deliverable per team: a results table for at least four models under one protocol, and a one-page recommendation naming the chosen model, the metric, the trade-off accepted, and the conditions under which the recommendation would change.</t>
        </is>
      </c>
      <c r="I16" s="49" t="inlineStr">
        <is>
          <t>Choose a Model and Defend It, plus the adversarial Defence Round. This is the week that most directly rehearses professional engineering practice, and the least guided session before the test.</t>
        </is>
      </c>
      <c r="J16" s="49" t="inlineStr">
        <is>
          <t>A11 / W12: submit the issued cohort notebook with selection/error checks and written reasoning about the supplied constraints. The in-class recommendation and live defence are practice. This is the last weekly challenge.</t>
        </is>
      </c>
      <c r="K16" s="49" t="inlineStr">
        <is>
          <t>QUIZ 11 - model comparison (integrative)
Whether a difference between two models is real given the fold spread, and which model a stated client constraint selects. TWO of the five questions are drawn from the Week 1-10 banks, which is what keeps the quizzes cumulative rather than disposable.</t>
        </is>
      </c>
      <c r="L16" s="49" t="inlineStr">
        <is>
          <t>PROJECT MILESTONE 3 briefed this week and due at the start of Week 13 (graded milestone): a model comparison table for the team's own project, with a justified selection.</t>
        </is>
      </c>
      <c r="M16" s="49" t="inlineStr">
        <is>
          <t>A11 contributes to Practical Challenges (10%) and is graded in-session. PM3 is a graded milestone within the project (25%). This session is the closest rehearsal for Practical Test 2.</t>
        </is>
      </c>
      <c r="N16" s="49" t="inlineStr">
        <is>
          <t>• Select the challenge dataset and write the fictional client brief. The brief must contain a real constraint - a cost, a safety consequence, or a requirement that the decision be explainable to a regulator.
• Pre-run the four candidate models to confirm the challenge is achievable in 100 minutes and that no single model trivially dominates.
• Print the question bank cards and brief any assistants: questions only, no answers, for the entire session.
• Prepare the recommendation template and the defence round pairing.
• Prepare the one-minute XGBoost demonstration and the explicit deferral message.</t>
        </is>
      </c>
      <c r="O16" s="49" t="inlineStr">
        <is>
          <t>• Computers; challenge dataset offline; printed client briefs.
• Printed question-bank cards and recommendation template.
• Room layout allowing team-to-team defence (movable seating strongly preferred).
• Timer and a visible protocol poster.</t>
        </is>
      </c>
    </row>
    <row r="17" ht="199.5" customHeight="1" s="36">
      <c r="A17" s="46" t="n">
        <v>13</v>
      </c>
      <c r="B17" s="47" t="inlineStr">
        <is>
          <t>Block 5 - Engineering Project</t>
        </is>
      </c>
      <c r="C17" s="47" t="inlineStr">
        <is>
          <t>Project studio: reproducibility, communication and peer review</t>
        </is>
      </c>
      <c r="D17" s="47" t="inlineStr">
        <is>
          <t>• Structure a repository that a stranger could clone and run.
• Write a README that states the problem, the data, the method, the result and the limitations.
• Capture an environment so the analysis can be reproduced.
• Report a result honestly, including uncertainty and the conditions of use.
• Review another team's work against a published rubric and give specific, actionable feedback.
• Declare and account for the use of AI assistance.</t>
        </is>
      </c>
      <c r="E17" s="47" t="inlineStr">
        <is>
          <t>• 0:00-0:10  Where we got to.
• 0:10-0:30  Concept: reproducibility as professional obligation. Repository anatomy (data / notebooks / src / README / requirements.txt), relative paths, seeds, and what a reviewer looks for first.
• 0:30-0:50  Demonstration: a messy exploratory notebook is refactored live into a clean repository with a README. The messy version is the students' own typical output, used with permission.
• 0:50-1:00  BREAK.
• 1:00-2:35  STUDIO. Teams build. The lecturer runs timed clinic slots on a booked rotation (see preparation - this is the session that fails without a booking sheet). Teams not in a clinic slot work or peer-review.
• 2:35-2:50  PEER REVIEW ROUND. Each team reviews another team's repository against the project rubric and returns a written review naming two strengths and two specific fixes.
• 2:50-2:55  Practical Test 2 briefing: format, rules, offline mode, rubric restated.
• 2:55-3:00  WEEKLY QUIZ, the last of the twelve. Five questions; two revisit earlier weeks.
• LAST FIVE MINUTES — QUIZ 12 - reproducibility (integrative). Open the Form, project the QR, give it exactly five minutes, close it, and show the cohort's score distribution before they leave. Worth 1%, best 10 of 12 count, no resits. If the network is down, convert it to a 24-hour link and say so out loud.</t>
        </is>
      </c>
      <c r="F17" s="47" t="inlineStr">
        <is>
          <t>• Repository structure and naming conventions.
• README anatomy; the two-page engineering brief as a distinct genre from a notebook.
• requirements.txt and environment capture; relative paths; random seeds.
• Data documentation and licence attribution.
• Figure captions that state a finding rather than describe an axis.
• Honest reporting: uncertainty, limitations, conditions of use.
• AI-use declaration as a professional norm.
• Peer review as a skill in its own right.</t>
        </is>
      </c>
      <c r="G17" s="47" t="inlineStr">
        <is>
          <t>• Git: branches, merges, and a history that shows who did what.
• GitHub: README, repository structure, issues as a task list.
• requirements.txt / pip freeze.
• Notebook hygiene: restart-and-run-all as the acceptance test.
• Streamlit: a three-minute teaser only, framed as a Semester 2 destination for turning a model into something a colleague can use.</t>
        </is>
      </c>
      <c r="H17" s="47" t="inlineStr">
        <is>
          <t>Studio build plus the peer review round. Deliverable: a repository that passes restart-and-run-all, a complete README, requirements.txt, a contribution log, and a received peer review with a written response to it.</t>
        </is>
      </c>
      <c r="I17" s="47" t="inlineStr">
        <is>
          <t>The peer review itself. Teams discover that reviewing is harder than building, and they find their own defects in someone else's repository.</t>
        </is>
      </c>
      <c r="J17" s="47" t="inlineStr">
        <is>
          <t>No new assignment - project work only, deliberately, so the week before the test carries no extra load.</t>
        </is>
      </c>
      <c r="K17" s="47" t="inlineStr">
        <is>
          <t>QUIZ 12 - reproducibility (integrative)
A notebook that will not run on another machine, a hard-coded path, and a seed that was never set. TWO of the five are drawn from earlier banks. Run it before the peer review round so it does not compete with studio time.</t>
        </is>
      </c>
      <c r="L17" s="47" t="inlineStr">
        <is>
          <t>PROJECT MILESTONE 4: repository freeze candidate, restart-and-run-all passing, peer review received and responded to.</t>
        </is>
      </c>
      <c r="M17" s="47" t="inlineStr">
        <is>
          <t>PM4 feeds the Reproducibility and documentation (5%) and Communication (10%) criteria of the project rubric, and the whole session prepares the Week 15 demo. Practical Test 2 is briefed here.</t>
        </is>
      </c>
      <c r="N17" s="47" t="inlineStr">
        <is>
          <t>• BUILD THE CLINIC BOOKING SHEET. With ~22 teams in Cohort A, 95 minutes allows roughly 4 minutes per team, or 8 minutes for half of them with the other half seen in office hours. Decide and publish this before the session, and use a printed checklist so each slot is diagnostic rather than conversational.
• Prepare the messy-to-clean refactor demonstration using a real (anonymised, permitted) student notebook.
• Prepare the peer review form, keyed to the project rubric, and the review pairing.
• Prepare the repository checklist that teams self-assess against before booking a clinic slot.
• Finalise Practical Test 2: variants, offline bundle, capacity plan, invigilation.</t>
        </is>
      </c>
      <c r="O17" s="47" t="inlineStr">
        <is>
          <t>• Computers; movable seating; printed clinic booking sheet and repository checklist.
• Printed peer review forms.
• Two assistants or floor helpers if the cohort exceeds 60 students.
• Practical Test 2 information sheet.</t>
        </is>
      </c>
    </row>
    <row r="18" ht="199.5" customHeight="1" s="36">
      <c r="A18" s="53" t="n">
        <v>14</v>
      </c>
      <c r="B18" s="54" t="inlineStr">
        <is>
          <t>ASSESSMENT WEEK 2</t>
        </is>
      </c>
      <c r="C18" s="54" t="inlineStr">
        <is>
          <t>PRACTICAL TEST 2 - End-to-End Engineering Machine Learning (individual, offline)</t>
        </is>
      </c>
      <c r="D18" s="54" t="inlineStr">
        <is>
          <t>• Frame an unfamiliar engineering problem as a machine learning task, unaided.
• Prepare data and control leakage within a pipeline.
• Build and compare at least two models under a single valid protocol.
• Evaluate with a justified metric and report the result in engineering terms.
• State the model's limitations and the conditions under which it should not be used.
• Explain their own reasoning in writing without any tool.</t>
        </is>
      </c>
      <c r="E18" s="54" t="inlineStr">
        <is>
          <t>• 0:00-0:15  Seating, machine allocation, variant distribution, rules read aloud, offline mode confirmed.
• 0:15-2:15  TEST, PART A (practical, 2 hours). Individual, unfamiliar dataset from the cohort's domain. Tasks: state the ML task and name the target; prepare the data with justified decisions; build at least two models inside a leak-proof pipeline; evaluate with a justified metric and validate properly; report the result in physical or operational units; state three limitations.
• 2:15-2:40  TEST, PART B (written reasoning, 25 minutes, typed offline responses only; no code execution). Why this metric. Where could this pipeline leak. What would change your recommendation. Would you deploy this, and what would you require first.
• 2:40-3:00  Collection, structural check, dismissal. Week 15 demo running order confirmed.</t>
        </is>
      </c>
      <c r="F18" s="54" t="inlineStr">
        <is>
          <t>• No new concepts. Weeks 8-13 are examined: supervised learning, validation, leakage, features, model comparison and engineering interpretation.</t>
        </is>
      </c>
      <c r="G18" s="54" t="inlineStr">
        <is>
          <t>• Permitted: Python, VS Code or Jupyter, pandas, NumPy, matplotlib, seaborn, scikit-learn, and the offline documentation bundle.
• Prohibited: internet, AI assistants, messaging. The room runs offline.
• The offline bundle must include the scikit-learn API documentation - the test examines judgement, not memory of parameter names.</t>
        </is>
      </c>
      <c r="H18" s="54" t="inlineStr">
        <is>
          <t>The test is the practical. Duration 2h00 practical + 0h25 written. Three parallel dataset variants in a checkerboard seating pattern.</t>
        </is>
      </c>
      <c r="I18" s="54" t="inlineStr">
        <is>
          <t>The whole assessment. An unfamiliar dataset, no prescribed method, and a rubric that awards more marks for reasoning and interpretation than for the score achieved.</t>
        </is>
      </c>
      <c r="J18" s="54" t="inlineStr">
        <is>
          <t>None. Final project preparation only.</t>
        </is>
      </c>
      <c r="K18" s="54" t="inlineStr">
        <is>
          <t>—</t>
        </is>
      </c>
      <c r="L18" s="54" t="inlineStr">
        <is>
          <t>Engineering ML Project: final build week outside class. Repository and two-page brief due at the Week 15 session.</t>
        </is>
      </c>
      <c r="M18" s="54" t="inlineStr">
        <is>
          <t>PRACTICAL TEST 2 = 20% of the Semester 1 mark. Individual. Rubric: task framing 10, data preparation and leakage control 20, modelling protocol 20, evaluation and metric justification 20, engineering interpretation and limits 20, code clarity 10.</t>
        </is>
      </c>
      <c r="N18" s="54" t="inlineStr">
        <is>
          <t>• Author three parallel dataset variants of matched difficulty, each with a model answer and a mark scheme.
• Build and test the offline bundle, including scikit-learn documentation, on a machine with the network physically disconnected.
• Confirm the capacity plan. Cohort A will very likely need two sittings; this must be timetabled with the Faculty by Week 7 at the latest.
• Write the structural auto-check script (runs top to bottom, required sections present, no internet calls) to make large-cohort marking feasible.
• Agree the moderation sample and the double-marking plan with the Faculty.
• Prepare the Week 15 demo running order, two typed defence prompts and the digital submission check.</t>
        </is>
      </c>
      <c r="O18" s="54" t="inlineStr">
        <is>
          <t>• Invigilated offline lab; confirmed machine count; spare machines; power contingency.
• USB or local drop folder collection.
• Printed task sheets per variant; Part B answers typed into the notebook.
• Second invigilator for any sitting above 40 students.
• Rubric published in Week 11.</t>
        </is>
      </c>
    </row>
    <row r="19" ht="199.5" customHeight="1" s="36">
      <c r="A19" s="46" t="n">
        <v>15</v>
      </c>
      <c r="B19" s="47" t="inlineStr">
        <is>
          <t>Block 5 - Engineering Project</t>
        </is>
      </c>
      <c r="C19" s="47" t="inlineStr">
        <is>
          <t>Engineering ML Demo Day, individual viva and reflection</t>
        </is>
      </c>
      <c r="D19" s="47" t="inlineStr">
        <is>
          <t>• Present a data-driven engineering solution to a mixed audience in six minutes.
• Answer challenging questions about method and limitations without defensiveness.
• Assess a peer's work against a rubric and justify the marks awarded.
• Account individually for their own contribution and for any AI assistance used.
• Reflect on their own progression from Week 1 and set two goals for Semester 2.</t>
        </is>
      </c>
      <c r="E19" s="47" t="inlineStr">
        <is>
          <t>• 0:00-0:10  Running order, rules, and the marking process explained.
• 0:10-2:20  DEMO FAIR, two rounds. Teams present at stations (laptop plus a one-page poster) while the lecturer and any invited guests offer formative feedback. Every team presents to at least four peers. All cohorts use the fair plus three selected plenary demos, each at most six minutes.
•    (inside the fair)  INDIVIDUAL DEFENCE. Every student submits typed answers to two repository-specific questions with their reflection. Local rubric assessment uses this evidence. Live questioning samples understanding for formative feedback; it cannot cover every student in a large cohort.
• 2:20-2:40  PLENARY: three demos of at most six minutes each, then two minutes for recognition (Best Engineering Reasoning, Best Investigation, Most Honest Limitations).
• 2:40-2:55  Feedback synthesis: what the cohort achieved, measured against the Week 1 promise. Semester 2 preview.
• 2:55-3:00  Individual reflection submitted.</t>
        </is>
      </c>
      <c r="F19" s="47" t="inlineStr">
        <is>
          <t>• Technical communication to a mixed audience.
• Defending a method; conceding a valid criticism as a professional strength.
• Peer assessment against a rubric.
• Individual accountability within team work.
• Reflective practice and self-directed goal setting.
• The graduate claim restated: 'give me an engineering problem involving data and I know how to start investigating it.'</t>
        </is>
      </c>
      <c r="G19" s="47" t="inlineStr">
        <is>
          <t>• Whatever the project required - the tool list is now the students' choice, which is itself the outcome being demonstrated.
• Optional and encouraged: a Streamlit interface, for teams who went beyond the brief.
• Include the repository URL with the actual required project files in the digital submission packet.</t>
        </is>
      </c>
      <c r="H19" s="47" t="inlineStr">
        <is>
          <t>Upload the project packet by the start: repository URL, required project files, two-page engineering brief, one-page poster, AI-use declaration and contribution log. Upload the complete individual DEMO packet, including two typed defence answers and the 500-word reflection, by the end. Live questions and peer feedback are formative.</t>
        </is>
      </c>
      <c r="I19" s="47" t="inlineStr">
        <is>
          <t>Two individual typed answers about their own repository, submitted with the reflection. Live questions are formative.</t>
        </is>
      </c>
      <c r="J19" s="47" t="inlineStr">
        <is>
          <t>None. Semester 2 pre-reading and an optional holiday challenge are issued for students who want to keep going.</t>
        </is>
      </c>
      <c r="K19" s="47" t="inlineStr">
        <is>
          <t>—</t>
        </is>
      </c>
      <c r="L19" s="47" t="inlineStr">
        <is>
          <t>ENGINEERING ML PROJECT FINAL SUBMISSION (25%). Demo, viva and reflection (10%).</t>
        </is>
      </c>
      <c r="M19" s="47" t="inlineStr">
        <is>
          <t>Engineering ML Project 25% - rubric: problem definition 15, data understanding 15, methodology 20, engineering reasoning 20, validation 15, communication 10, reproducibility and documentation 5. Demo, typed defence and individual reflection 10%. Peer feedback and live questions are formative; they do not alter assessment marks.</t>
        </is>
      </c>
      <c r="N19" s="47" t="inlineStr">
        <is>
          <t>• Invite Faculty staff and, if possible, one external practising engineer as assessors - it raises the standard of every submission more than any amount of exhortation.
• Prepare two repository-specific written defence prompts and the individual submission form.
• Prepare the peer assessment form and brief students on it in Week 13.
• Book a room configuration that supports a fair: tables around the perimeter, power for every station.
• Prepare the Week 1 promise slide for the closing comparison, and the Semester 2 preview.
• Prepare the reflection prompt and the recognition certificates.</t>
        </is>
      </c>
      <c r="O19" s="47" t="inlineStr">
        <is>
          <t>• Fair-capable room with power at the perimeter; poster stands or tape.
• Invited assessors and printed assessor packs with the rubric.
• Individual written defence submission form and formative peer feedback forms.
• Certificates for the three recognitions.
• Camera to record demos for the programme's own portfolio, with student consent.</t>
        </is>
      </c>
    </row>
  </sheetData>
  <autoFilter ref="A4:O19"/>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00000"/>
    <outlinePr summaryBelow="1" summaryRight="1"/>
    <pageSetUpPr fitToPage="0"/>
  </sheetPr>
  <dimension ref="A1:V19"/>
  <sheetViews>
    <sheetView showFormulas="0" showGridLines="1" showRowColHeaders="1" showZeros="1" rightToLeft="0" tabSelected="0" showOutlineSymbols="1" defaultGridColor="1"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35" min="1" max="1"/>
    <col width="28" customWidth="1" style="35" min="2" max="2"/>
    <col width="18" customWidth="1" style="35" min="3" max="3"/>
    <col width="27" customWidth="1" style="35" min="4" max="4"/>
    <col width="9" customWidth="1" style="35" min="5" max="5"/>
    <col width="12" customWidth="1" style="35" min="6" max="6"/>
    <col width="40" customWidth="1" style="35" min="7" max="7"/>
    <col width="34" customWidth="1" style="35" min="8" max="8"/>
    <col width="62" customWidth="1" style="35" min="9" max="9"/>
    <col width="78" customWidth="1" style="35" min="10" max="10"/>
    <col width="56" customWidth="1" style="35" min="11" max="11"/>
    <col width="50" customWidth="1" style="35" min="12" max="12"/>
    <col width="60" customWidth="1" style="35" min="13" max="14"/>
    <col width="56" customWidth="1" style="35" min="15" max="15"/>
    <col width="44" customWidth="1" style="35" min="16" max="16"/>
    <col width="54" customWidth="1" style="35" min="17" max="17"/>
    <col width="40" customWidth="1" style="35" min="18" max="18"/>
    <col width="46" customWidth="1" style="35" min="19" max="19"/>
    <col width="70" customWidth="1" style="35" min="20" max="20"/>
    <col width="52" customWidth="1" style="35" min="21" max="21"/>
    <col width="46" customWidth="1" style="35" min="22" max="22"/>
  </cols>
  <sheetData>
    <row r="1" ht="25.5" customHeight="1" s="36">
      <c r="A1" s="37" t="inlineStr">
        <is>
          <t>Cohort A — Introduction to Machine Learning in Design &amp; Infrastructure</t>
        </is>
      </c>
    </row>
    <row r="2" ht="18" customHeight="1" s="36">
      <c r="A2" s="38" t="inlineStr">
        <is>
          <t>Civil Engineering + Architecture · ~100 students (est. 22 project teams of 4-5) · one 3-hour session per week · 45 contact hours · TUESDAY 11:00-14:00, Room 106</t>
        </is>
      </c>
    </row>
    <row r="4" ht="43.5" customHeight="1" s="36">
      <c r="A4" s="42" t="inlineStr">
        <is>
          <t>Week</t>
        </is>
      </c>
      <c r="B4" s="42" t="inlineStr">
        <is>
          <t>Block / Phase</t>
        </is>
      </c>
      <c r="C4" s="42" t="inlineStr">
        <is>
          <t>Week commencing</t>
        </is>
      </c>
      <c r="D4" s="42" t="inlineStr">
        <is>
          <t>Session date · time · room</t>
        </is>
      </c>
      <c r="E4" s="42" t="inlineStr">
        <is>
          <t>Cohort</t>
        </is>
      </c>
      <c r="F4" s="42" t="inlineStr">
        <is>
          <t>Course code</t>
        </is>
      </c>
      <c r="G4" s="42" t="inlineStr">
        <is>
          <t>Course title</t>
        </is>
      </c>
      <c r="H4" s="42" t="inlineStr">
        <is>
          <t>Topic</t>
        </is>
      </c>
      <c r="I4" s="42" t="inlineStr">
        <is>
          <t>Learning objectives (by the end of the session, students can…)</t>
        </is>
      </c>
      <c r="J4" s="42" t="inlineStr">
        <is>
          <t>3-hour session structure</t>
        </is>
      </c>
      <c r="K4" s="42" t="inlineStr">
        <is>
          <t>Concepts introduced</t>
        </is>
      </c>
      <c r="L4" s="42" t="inlineStr">
        <is>
          <t>Tools introduced</t>
        </is>
      </c>
      <c r="M4" s="42" t="inlineStr">
        <is>
          <t>Practical / lab</t>
        </is>
      </c>
      <c r="N4" s="42" t="inlineStr">
        <is>
          <t>Dataset(s)</t>
        </is>
      </c>
      <c r="O4" s="42" t="inlineStr">
        <is>
          <t>Interactive challenge</t>
        </is>
      </c>
      <c r="P4" s="42" t="inlineStr">
        <is>
          <t>Assignment (due next session)</t>
        </is>
      </c>
      <c r="Q4" s="42" t="inlineStr">
        <is>
          <t>Weekly quiz (QR, auto-graded)</t>
        </is>
      </c>
      <c r="R4" s="42" t="inlineStr">
        <is>
          <t>Project milestone</t>
        </is>
      </c>
      <c r="S4" s="42" t="inlineStr">
        <is>
          <t>Assessment relevance</t>
        </is>
      </c>
      <c r="T4" s="42" t="inlineStr">
        <is>
          <t>Lecturer preparation</t>
        </is>
      </c>
      <c r="U4" s="42" t="inlineStr">
        <is>
          <t>Required resources</t>
        </is>
      </c>
      <c r="V4" s="42" t="inlineStr">
        <is>
          <t>Shared vs cohort-specific</t>
        </is>
      </c>
    </row>
    <row r="5" ht="219.75" customHeight="1" s="36">
      <c r="A5" s="46" t="n">
        <v>1</v>
      </c>
      <c r="B5" s="47" t="inlineStr">
        <is>
          <t>Block 1 - Orientation &amp; Computational Thinking</t>
        </is>
      </c>
      <c r="C5" s="47" t="inlineStr">
        <is>
          <t>Mon 07 Sep 2026</t>
        </is>
      </c>
      <c r="D5" s="47" t="inlineStr">
        <is>
          <t>Tue 08 Sep 2026
11:00-14:00 · Room 106</t>
        </is>
      </c>
      <c r="E5" s="47" t="inlineStr">
        <is>
          <t>Cohort A</t>
        </is>
      </c>
      <c r="F5" s="47" t="inlineStr">
        <is>
          <t>CML3112</t>
        </is>
      </c>
      <c r="G5" s="47" t="inlineStr">
        <is>
          <t>Introduction to Machine Learning in Design &amp; Infrastructure</t>
        </is>
      </c>
      <c r="H5" s="47" t="inlineStr">
        <is>
          <t>The engineering problem that needs data</t>
        </is>
      </c>
      <c r="I5" s="47" t="inlineStr">
        <is>
          <t>• Distinguish artificial intelligence, machine learning and data science, and place each in an engineering workflow.
• Contrast rule-based programming (we write the rule) with machine learning (we supply examples and the rule is inferred).
• State three problems in their own discipline that are plausibly ML-tractable, and two that are not, with reasons.
• Classify a problem informally as prediction of a quantity or prediction of a category.
• Explain how the course is assessed and what a finished project looks like.</t>
        </is>
      </c>
      <c r="J5" s="47" t="inlineStr">
        <is>
          <t>• 0:00-0:25  Course contract: the year's arc, the assessment model, the AI-use policy, the promise ('by December you can investigate an engineering dataset unaided').
• 0:25-1:05  Concept, no code: a real engineering question is posed; students attempt it by hand from a 12-row printed data extract; the class discovers it is guessing a pattern from examples. Rules vs learning is named only after they have done it.
• 1:05-1:25  Show the destination: a walkthrough of a completed student-level project (notebook, charts, model, 2-page brief) so the target is concrete from day one.
• 1:25-2:25  CHALLENGE - Problem Hunt. Teams of 4-5 are formed here and stay for the semester. Each team lists 6 problems from their discipline, then sorts them into quantity / category / not-an-ML-problem and must justify every placement.
• 2:25-2:50  Gallery walk. Teams critique two other teams' boards; the lecturer harvests the best problems into a live class list used later for project selection.
• 2:50-3:00  Environment homework issued, team charters signed, class channel joined.
• LAST FIVE MINUTES — QUIZ 1 - what machine learning is. Open the Form, project the QR, give it exactly five minutes, close it, and show the cohort's score distribution before they leave. Worth 1%, best 10 of 12 count, no resits. If the network is down, convert it to a 24-hour link and say so out loud.</t>
        </is>
      </c>
      <c r="K5" s="47" t="inlineStr">
        <is>
          <t>• Data, row, column, feature, target/label.
• Pattern vs rule; interpolation vs extrapolation.
• Prediction vs explanation - and why an engineer usually needs both.
• Regression vs classification (informal, by example only).
• The four honest limits of ML: no data, no signal, physics is better, and the future is not like the past.</t>
        </is>
      </c>
      <c r="L5" s="47" t="inlineStr">
        <is>
          <t>• No installation yet - accounts only, so nobody is blocked by a laptop.
• GitHub account (username convention published).
• Kaggle account.
• Class channel (Teams / WhatsApp) and the shared course drive.
• Framing device used all semester: for every tool we ask 'what problem does this tool solve?'</t>
        </is>
      </c>
      <c r="M5" s="47" t="inlineStr">
        <is>
          <t>Paper-based prediction exercise. Teams receive a 12-row printed extract of the cohort's anchor dataset with the 13th row's target hidden. They predict it, write down the reasoning, then compare with the true value and quantify their own error. This produces the words 'feature', 'target' and 'error' from the students rather than from the lecturer.
COHORT A FRAMING: Framing question for the cohort: 'Can we estimate the 28-day compressive strength of a mix without casting and crushing another cylinder?' Second framing question for the architecture students: 'Can we estimate a building's heating load from its geometry and glazing before it is built?'</t>
        </is>
      </c>
      <c r="N5" s="47" t="inlineStr">
        <is>
          <t>Printed 12-row extract of Concrete Compressive Strength (UCI 165): cement, slag, fly ash, water, superplasticiser, coarse and fine aggregate, age -&gt; compressive strength in MPa. Row 13's strength is withheld for the hand-prediction exercise.</t>
        </is>
      </c>
      <c r="O5" s="47" t="inlineStr">
        <is>
          <t>Problem Hunt (see structure). Deliberately unguided: no template, no worked example. The lecturer only asks questions.</t>
        </is>
      </c>
      <c r="P5" s="47" t="inlineStr">
        <is>
          <t>A1 (one page): 'Three problems, one dataset' - three candidate ML problems from their discipline, the data each would need, and where that data might come from. PLUS the environment install checklist to be completed before Week 2.</t>
        </is>
      </c>
      <c r="Q5" s="47" t="inlineStr">
        <is>
          <t>QUIZ 1 - what machine learning is
Features and target read off a table, regression told from classification, and one of the four limits applied to a stated situation. This one runs on phones at the end of a paper session, which also gets every student through the QR mechanism once in week one.</t>
        </is>
      </c>
      <c r="R5" s="47" t="inlineStr">
        <is>
          <t>Project teams formed and registered. Team charter signed (roles, contact, meeting slot, conflict rule).</t>
        </is>
      </c>
      <c r="S5" s="47" t="inlineStr">
        <is>
          <t>A1 contributes to Practical Challenges &amp; Assignments (10%). Marked pass / redo - the point is engagement, not polish.</t>
        </is>
      </c>
      <c r="T5" s="47" t="inlineStr">
        <is>
          <t>• Print the 12-row dataset extracts (one per team) and the Problem Hunt board sheets.
• Build and rehearse the demonstration project that will be shown at 1:05.
• Create the GitHub organisation / GitHub Classroom and publish the username convention.
• Prepare the install guide PDF and the BYOD/laptop-access survey.
• Pre-allocate teams from the class roster to avoid 25 minutes of milling.
• COHORT A: Problem Hunt prompt cards for construction, structures, materials, building performance, infrastructure inspection and design optimisation.</t>
        </is>
      </c>
      <c r="U5" s="47" t="inlineStr">
        <is>
          <t>• Projector, whiteboard, marker pens, flipchart or A3 sheets.
• Printed dataset extracts, printed install guide, printed course outline.
• Laptop-access survey (paper, for 100% return).
• No student computers required this week - by design.</t>
        </is>
      </c>
      <c r="V5" s="47" t="inlineStr">
        <is>
          <t>DIVERGENT: anchor dataset, framing questions, Problem Hunt prompts. SHARED: everything else.</t>
        </is>
      </c>
    </row>
    <row r="6" ht="219.75" customHeight="1" s="36">
      <c r="A6" s="48" t="n">
        <v>2</v>
      </c>
      <c r="B6" s="49" t="inlineStr">
        <is>
          <t>Block 1 - Orientation &amp; Computational Thinking</t>
        </is>
      </c>
      <c r="C6" s="49" t="inlineStr">
        <is>
          <t>Mon 14 Sep 2026</t>
        </is>
      </c>
      <c r="D6" s="49" t="inlineStr">
        <is>
          <t>Tue 15 Sep 2026
11:00-14:00 · Room 106</t>
        </is>
      </c>
      <c r="E6" s="49" t="inlineStr">
        <is>
          <t>Cohort A</t>
        </is>
      </c>
      <c r="F6" s="49" t="inlineStr">
        <is>
          <t>CML3112</t>
        </is>
      </c>
      <c r="G6" s="49" t="inlineStr">
        <is>
          <t>Introduction to Machine Learning in Design &amp; Infrastructure</t>
        </is>
      </c>
      <c r="H6" s="49" t="inlineStr">
        <is>
          <t>Colab notebooks and version control</t>
        </is>
      </c>
      <c r="I6" s="49" t="inlineStr">
        <is>
          <t>• Open and run a notebook in Colab.
• Explain cells, kernel state and Restart and Run All.
• Read error messages and repair four simple failures.
• Create a GitHub repository and save a notebook with a useful commit message.</t>
        </is>
      </c>
      <c r="J6" s="49" t="inlineStr">
        <is>
          <t>• 0:00-0:30 Recall and tool map.
• 0:30-1:40 Notebook practical and execution order.
• 1:40-1:50 Break.
• 1:50-2:40 Git explanation and repository practical.
• 2:40-2:50 Break and Fix in groups; finish repairs after class.
• 2:50-2:55 Five-question quiz.
• 2:55-3:00 A2 and exit check.
• LAST FIVE MINUTES — QUIZ 2 - notebooks and version control. Open the Form, project the QR, give it exactly five minutes, close it, and show the cohort's score distribution before they leave. Worth 1%, best 10 of 12 count, no resits. If the network is down, convert it to a 24-hour link and say so out loud.</t>
        </is>
      </c>
      <c r="K6" s="49" t="inlineStr">
        <is>
          <t>• Cell, kernel, hidden state and reproducibility.
• Working directory and relative path.
• Repository, staging, commit, push and README.</t>
        </is>
      </c>
      <c r="L6" s="49" t="inlineStr">
        <is>
          <t>• Google Colab is the primary route.
• GitHub stores the work and its history.
• Pre-provisioned Jupyter lab machines are the connection fallback.</t>
        </is>
      </c>
      <c r="M6" s="49" t="inlineStr">
        <is>
          <t>Use setup/&lt;cohort&gt;/proof_of_life.ipynb and its four-row CSV. Run, predict repeated execution, restart and run all, then save to GitHub.</t>
        </is>
      </c>
      <c r="N6" s="49" t="inlineStr">
        <is>
          <t>None. A single small CSV is opened only to prove the environment works.</t>
        </is>
      </c>
      <c r="O6" s="49" t="inlineStr">
        <is>
          <t>Repair the four supplied notebooks: unavailable import, wrong Python-version expectation, wrong path and hidden state. Explain each cause in one sentence.</t>
        </is>
      </c>
      <c r="P6" s="49" t="inlineStr">
        <is>
          <t>A2 Proof of Life: submit the repository URL and named notebook through the assignment form. Upload the README; keep the CSV in your repository. See setup/A2_assignment_brief.md. Due at the start of Week 3.</t>
        </is>
      </c>
      <c r="Q6" s="49" t="inlineStr">
        <is>
          <t>QUIZ 2 - notebooks and version control
Out-of-order execution diagnosed from a cell-numbering trace, what Restart and Run All proves, and reading one git status output. A2 separately checks readiness for Week 3.</t>
        </is>
      </c>
      <c r="R6" s="49" t="inlineStr">
        <is>
          <t>Each student has a working notebook and repository. Team collaboration continues from Week 1.</t>
        </is>
      </c>
      <c r="S6" s="49" t="inlineStr">
        <is>
          <t>A2 is one of eleven challenges, best eight contributing 10%. The Week 2 quiz is one of twelve quizzes, best ten contributing 10%.</t>
        </is>
      </c>
      <c r="T6" s="49" t="inlineStr">
        <is>
          <t>• Rehearse Colab sign-in and the lab fallback with a student account.
• Distribute the small cohort ZIP from setup/ before class.
• Run setup/check_setup.py on lab machines.
• Check the Week 2 form and displayed deadline. Brief floor helpers.</t>
        </is>
      </c>
      <c r="U6" s="49" t="inlineStr">
        <is>
          <t>• Laptop or provisioned lab computer, charger, cohort ZIP and a printed copy of setup/README.md.
• USB/local-share copy for connection outages.</t>
        </is>
      </c>
      <c r="V6" s="49" t="inlineStr">
        <is>
          <t>Largely shared — check the Shared vs Divergent sheet.</t>
        </is>
      </c>
    </row>
    <row r="7" ht="219.75" customHeight="1" s="36">
      <c r="A7" s="46" t="n">
        <v>3</v>
      </c>
      <c r="B7" s="47" t="inlineStr">
        <is>
          <t>Block 1 - Orientation &amp; Computational Thinking</t>
        </is>
      </c>
      <c r="C7" s="47" t="inlineStr">
        <is>
          <t>Mon 21 Sep 2026</t>
        </is>
      </c>
      <c r="D7" s="47" t="inlineStr">
        <is>
          <t>Tue 22 Sep 2026
11:00-14:00 · Room 106</t>
        </is>
      </c>
      <c r="E7" s="47" t="inlineStr">
        <is>
          <t>Cohort A</t>
        </is>
      </c>
      <c r="F7" s="47" t="inlineStr">
        <is>
          <t>CML3112</t>
        </is>
      </c>
      <c r="G7" s="47" t="inlineStr">
        <is>
          <t>Introduction to Machine Learning in Design &amp; Infrastructure</t>
        </is>
      </c>
      <c r="H7" s="47" t="inlineStr">
        <is>
          <t>Python as an engineering calculator</t>
        </is>
      </c>
      <c r="I7" s="47" t="inlineStr">
        <is>
          <t>• Use variables, numeric and string types, and operators correctly, including integer vs float division.
• Write conditional logic that implements an engineering decision rule.
• Define and call a function with parameters, a return value and a docstring.
• Convert a formula from their own discipline into a tested function.
• Read a Python traceback and locate the offending line.
• Check unit consistency and reject a numerically valid but physically wrong answer.</t>
        </is>
      </c>
      <c r="J7" s="47" t="inlineStr">
        <is>
          <t>• 0:00-0:30  Concept driven by a formula the students already know from their own programme. The formula is written on the board first; Python notation is introduced only as a way of writing it down.
• 0:30-0:55  Live coding: the same formula becomes a function with parameters, a return value, a docstring and two test values. The lecturer makes one deliberate unit error and lets the class catch it.
• 0:55-2:05  PRACTICAL - Discipline Function Library. Each student writes five functions from their own field, each with a docstring, stated units and two test values with expected answers.
• 2:05-2:40  CHALLENGE - Wrong Answer Hunt. Six functions are supplied that all run without error but return wrong answers: integer division, operator precedence, degrees vs radians, a mis-set if/elif boundary, a mutated input, and a unit mismatch. Teams must find, name and fix all six.
• 2:40-3:00  Debugger demonstration (breakpoint, step, inspect a variable) and assignment issued.
• LAST FIVE MINUTES — QUIZ 3 - Python as an engineering calculator. Open the Form, project the QR, give it exactly five minutes, close it, and show the cohort's score distribution before they leave. Worth 1%, best 10 of 12 count, no resits. If the network is down, convert it to a 24-hour link and say so out loud.</t>
        </is>
      </c>
      <c r="K7" s="47" t="inlineStr">
        <is>
          <t>• int, float, str, bool; casting; integer vs true division.
• Operator precedence; comparison and logical operators.
• if / elif / else as an encoded engineering decision rule.
• Function definition, parameters, arguments, return vs print, local scope.
• Docstrings and self-documenting code; units as part of the interface.
• Traceback anatomy; assertion as a cheap test.</t>
        </is>
      </c>
      <c r="L7" s="47" t="inlineStr">
        <is>
          <t>• Jupyter and VS Code (both, so the choice becomes a habit not a mystery).
• The VS Code debugger: breakpoint, step over, inspect variables.
• Git: a commit per working function, so history shows the build.
• AI assistant, first supervised use: students may ask it to EXPLAIN an error message, but not to write a function. The distinction is enforced and discussed.</t>
        </is>
      </c>
      <c r="M7" s="47" t="inlineStr">
        <is>
          <t>Discipline Function Library (see structure), committed to the team repository as functions.py plus a notebook that imports and demonstrates it. Core tier: 5 working functions. Stretch tier: add input validation that raises a clear error for physically impossible inputs.
COHORT A FRAMING: Formula set: maximum bending moment and mid-span deflection of a simply supported beam under a uniform load; slab concrete volume and reinforcement mass; concrete mix quantities for a target volume; wall U-value from layer resistances; cost per square metre of floor area; window-to-wall ratio.</t>
        </is>
      </c>
      <c r="N7" s="47" t="inlineStr">
        <is>
          <t>No dataset - formula-driven.</t>
        </is>
      </c>
      <c r="O7" s="47" t="inlineStr">
        <is>
          <t>Wrong Answer Hunt - six silently wrong functions. Chosen because 'it ran, therefore it is right' is the single most dangerous belief a beginner can form, and it is fatal later in model evaluation.</t>
        </is>
      </c>
      <c r="P7" s="47" t="inlineStr">
        <is>
          <t>A3: complete the five tasks in practicals/W03/&lt;cohort&gt;/W03_student.ipynb. The broader function library is practice. Submit the named notebook through the assignment form.</t>
        </is>
      </c>
      <c r="Q7" s="47" t="inlineStr">
        <is>
          <t>QUIZ 3 - Python as an engineering calculator
A unit error that returns a plausible wrong number, a function that returns nothing because it prints instead, an if-chain whose branches are in the wrong order, and one traceback.</t>
        </is>
      </c>
      <c r="R7" s="47" t="inlineStr">
        <is>
          <t>Team repository has a working code file and a commit history with more than one contributor.</t>
        </is>
      </c>
      <c r="S7" s="47" t="inlineStr">
        <is>
          <t>A3 contributes to Practical Challenges &amp; Assignments (10%). Function-writing and traceback-reading are directly examined in Practical Test 1 (Week 7).</t>
        </is>
      </c>
      <c r="T7" s="47" t="inlineStr">
        <is>
          <t>• Write the cohort-specific formula set and confirm every formula against a textbook or standard - a wrong formula here destroys credibility.
• Author the six Wrong Answer Hunt functions and a marking key naming each bug.
• Prepare a worked solution to the function library at both core and stretch tiers.
• Prepare the debugger demonstration and rehearse it - a fumbled debugger demo teaches students to avoid the debugger.</t>
        </is>
      </c>
      <c r="U7" s="47" t="inlineStr">
        <is>
          <t>• Computers, projector, printed formula sheet for the cohort.
• Printed Python syntax cheat sheet (one page, both sides).
• Wrong Answer Hunt notebook distributed offline via USB or the network share.</t>
        </is>
      </c>
      <c r="V7" s="47" t="inlineStr">
        <is>
          <t>DIVERGENT: the six formulas and the Wrong Answer Hunt unit traps (kN vs N, mm vs m, W/m2K). SHARED: all concepts, structure, challenge design.</t>
        </is>
      </c>
    </row>
    <row r="8" ht="219.75" customHeight="1" s="36">
      <c r="A8" s="48" t="n">
        <v>4</v>
      </c>
      <c r="B8" s="49" t="inlineStr">
        <is>
          <t>Block 1 - Orientation &amp; Computational Thinking</t>
        </is>
      </c>
      <c r="C8" s="49" t="inlineStr">
        <is>
          <t>Mon 28 Sep 2026</t>
        </is>
      </c>
      <c r="D8" s="49" t="inlineStr">
        <is>
          <t>Tue 29 Sep 2026
11:00-14:00 · Room 106</t>
        </is>
      </c>
      <c r="E8" s="49" t="inlineStr">
        <is>
          <t>Cohort A</t>
        </is>
      </c>
      <c r="F8" s="49" t="inlineStr">
        <is>
          <t>CML3112</t>
        </is>
      </c>
      <c r="G8" s="49" t="inlineStr">
        <is>
          <t>Introduction to Machine Learning in Design &amp; Infrastructure</t>
        </is>
      </c>
      <c r="H8" s="49" t="inlineStr">
        <is>
          <t>Python for problem solving: collections, loops and files</t>
        </is>
      </c>
      <c r="I8" s="49" t="inlineStr">
        <is>
          <t>• Choose between a list and a dictionary for a given engineering record and justify the choice.
• Iterate over a collection with for and while, using the accumulator pattern.
• Read a CSV file and compute summary statistics without any data-science library.
• Catch and interpret exceptions, and fail informatively rather than silently.
• Decompose an open-ended data question into an ordered sequence of steps before writing code.
• Report a finding from data they were given no instructions about.</t>
        </is>
      </c>
      <c r="J8" s="49" t="inlineStr">
        <is>
          <t>• 0:00-0:25  Concept: loops as 'do this to every measurement'. The motivating problem is 4,000 sensor readings and a question that cannot be answered by hand.
• 0:25-0:50  Demonstration: open a real CSV with open() and the csv module; compute count, mean, min, max; count out-of-range values. Deliberately done the hard way - this is the pain that makes pandas welcome in Week 5.
• 0:50-2:00  PRACTICAL - Reading Report. Students build a script that ingests a data file and writes a plain-text summary: per-column count/mean/min/max, number of out-of-range values against a stated engineering limit, and the number of rows it had to skip because they were malformed.
• 2:00-2:40  INVESTIGATION LAB 1 - 'Find something interesting'. Teams receive an unfamiliar ~300-row file with no instructions, no column dictionary and no suggested method. The lecturer circulates and asks questions only.
• 2:40-3:00  Sixty-second findings pitch per team, then assignment issued.
• LAST FIVE MINUTES — QUIZ 4 - collections, loops and files. Open the Form, project the QR, give it exactly five minutes, close it, and show the cohort's score distribution before they leave. Worth 1%, best 10 of 12 count, no resits. If the network is down, convert it to a 24-hour link and say so out loud.</t>
        </is>
      </c>
      <c r="K8" s="49" t="inlineStr">
        <is>
          <t>• List, tuple, dictionary; indexing and slicing; nesting.
• for and while; the accumulator pattern; early exit.
• File I/O; delimiters; header rows; string-to-number conversion.
• try / except; exception types; failing loudly.
• Algorithmic decomposition: question -&gt; steps -&gt; code.
• The idea of a data dictionary, met by feeling its absence.</t>
        </is>
      </c>
      <c r="L8" s="49" t="inlineStr">
        <is>
          <t>• The csv module and open() - deliberately no pandas yet.
• The VS Code debugger on a loop, to watch an accumulator fill.
• Git: incremental commits during the build.</t>
        </is>
      </c>
      <c r="M8" s="49" t="inlineStr">
        <is>
          <t>Reading Report script (see structure). Core tier: handle a clean file. Stretch tier: survive a file containing blank lines, a stray text value in a numeric column and a duplicated header row - which is exactly what Week 6 formalises.</t>
        </is>
      </c>
      <c r="N8" s="49" t="inlineStr">
        <is>
          <t>COURSE-AUTHORED: 'site_inspection_log.csv' (~300 rows) - a fictional but realistic bridge or road inspection log with crack widths, defect ratings, inspection dates, inspector IDs and locations. Contains one genuine finding (a single structure or inspector whose ratings diverge systematically), two red herrings and realistic dirt.</t>
        </is>
      </c>
      <c r="O8" s="49" t="inlineStr">
        <is>
          <t>INVESTIGATION LAB 1 - the first fully unguided session. The lecturer's only permitted moves are the question bank: What are you trying to find? Why that column? What does that number mean physically? How would you know if you were wrong? Students must produce a claim and the evidence for it.</t>
        </is>
      </c>
      <c r="P8" s="49" t="inlineStr">
        <is>
          <t>A4: the Reading Report notebook with four automatically checked summaries. See practicals/W04/&lt;cohort&gt;/README.md. The 150-word interpretation is formative practice.</t>
        </is>
      </c>
      <c r="Q8" s="49" t="inlineStr">
        <is>
          <t>QUIZ 4 - collections, loops and files
An accumulator reset inside the loop, a range off-by-one, a value read from a file as a string, and a skipped-row count that was never reported.</t>
        </is>
      </c>
      <c r="R8" s="49" t="inlineStr">
        <is>
          <t>Each team submits a one-paragraph statement of the kind of engineering problem it wants to work on for the semester (not yet a dataset).</t>
        </is>
      </c>
      <c r="S8" s="49" t="inlineStr">
        <is>
          <t>A4 contributes to Practical Challenges &amp; Assignments (10%). Investigation Lab 1 is the direct rehearsal for Practical Test 1 in Week 7 and establishes the no-spoon-feeding norm.</t>
        </is>
      </c>
      <c r="T8" s="49" t="inlineStr">
        <is>
          <t>• AUTHOR the ~300-row Investigation Lab file: it must contain one genuine, findable, discipline-relevant story plus two red herrings and some realistic dirt. Build a lecturer key listing every finding a good team could reach.
• Prepare the question bank as a printed card to carry while circulating - it prevents the lecturer from accidentally giving answers.
• Prepare the malformed-file variant for the stretch tier.
• Brief floor helpers that they must ask questions, not fix code.</t>
        </is>
      </c>
      <c r="U8" s="49" t="inlineStr">
        <is>
          <t>• Computers, the Investigation Lab data file distributed offline.
• Printed question-bank cards.
• Timer visible to the room - the pitch round must not overrun.
• Flipchart for the findings pitches.</t>
        </is>
      </c>
      <c r="V8" s="49" t="inlineStr">
        <is>
          <t>DIVERGENT: the Investigation Lab file and its planted story. SHARED: all Python content.</t>
        </is>
      </c>
    </row>
    <row r="9" ht="219.75" customHeight="1" s="36">
      <c r="A9" s="51" t="n">
        <v>5</v>
      </c>
      <c r="B9" s="52" t="inlineStr">
        <is>
          <t>Block 2 - Engineering Data</t>
        </is>
      </c>
      <c r="C9" s="52" t="inlineStr">
        <is>
          <t>Mon 05 Oct 2026</t>
        </is>
      </c>
      <c r="D9" s="52" t="inlineStr">
        <is>
          <t>Tue 06 Oct 2026
11:00-14:00 · Room 106</t>
        </is>
      </c>
      <c r="E9" s="52" t="inlineStr">
        <is>
          <t>Cohort A</t>
        </is>
      </c>
      <c r="F9" s="52" t="inlineStr">
        <is>
          <t>CML3112</t>
        </is>
      </c>
      <c r="G9" s="52" t="inlineStr">
        <is>
          <t>Introduction to Machine Learning in Design &amp; Infrastructure</t>
        </is>
      </c>
      <c r="H9" s="52" t="inlineStr">
        <is>
          <t>NumPy and pandas: the engineer's data table, and where data comes from</t>
        </is>
      </c>
      <c r="I9" s="52" t="inlineStr">
        <is>
          <t>• Create arrays and perform vectorised arithmetic, and explain why it replaces an explicit loop.
• Load a CSV into a DataFrame and profile it with shape, dtypes, info, head and describe.
• Select rows and columns with .loc and .iloc and filter with boolean conditions.
• Group and aggregate to answer a comparison question.
• Create a derived column that encodes engineering knowledge.
• Find a dataset on Kaggle or the UCI repository, read its documentation, and state its provenance, licence and limitations before using it.</t>
        </is>
      </c>
      <c r="J9" s="52" t="inlineStr">
        <is>
          <t>• 0:00-0:25  Concept: the Week 4 Reading Report is rewritten in four lines of pandas, side by side with the 60-line version. The case for the tool is made by the tool.
• 0:25-0:55  Demonstration on the cohort anchor dataset: load, profile, select, filter, group, derive, save.
• 0:55-2:00  PRACTICAL - Twelve Questions. A guided interrogation of the anchor dataset: twelve real engineering questions, each answerable in one to four lines of pandas. Answers must be stated in physical units, not as raw output.
• 2:00-2:20  Where data comes from: Kaggle, UCI, government and open engineering repositories. How to read a dataset card; licence, provenance, collection method, and the question 'can this data actually answer my question?'
• 2:20-2:45  CHALLENGE - Ten Questions, No Help. Teams get an unfamiliar dataset and 25 minutes to answer ten questions. No lecturer assistance, no internet search of the answers.
• 2:45-3:00  DATA ANALYSIS PROJECT brief released (due Week 8).
• LAST FIVE MINUTES — QUIZ 5 - pandas and judging a dataset. Open the Form, project the QR, give it exactly five minutes, close it, and show the cohort's score distribution before they leave. Worth 1%, best 10 of 12 count, no resits. If the network is down, convert it to a 24-hour link and say so out loud.</t>
        </is>
      </c>
      <c r="K9" s="52" t="inlineStr">
        <is>
          <t>• ndarray, vectorisation, elementwise operations, broadcasting (light).
• DataFrame, Series, index, dtype.
• .loc vs .iloc; boolean masking; chained conditions.
• groupby and aggregation; sorting; value_counts.
• Derived / engineered columns.
• Dataset provenance, licence, collection method, fitness for purpose.</t>
        </is>
      </c>
      <c r="L9" s="52" t="inlineStr">
        <is>
          <t>• NumPy.
• pandas.
• Kaggle (search, dataset cards, download, public notebooks as worked examples).
• UCI Machine Learning Repository and the ucimlrepo package.
• Jupyter as the primary surface from this week onward.</t>
        </is>
      </c>
      <c r="M9" s="52" t="inlineStr">
        <is>
          <t>Twelve Questions interrogation notebook on the anchor dataset (see structure). Core tier: answer all twelve. Stretch tier: add two questions of their own and answer them.
COHORT A FRAMING: The twelve questions include: how does mean strength vary with curing age band; which mixes achieve above 50 MPa and what do they share; what is the water-to-cement ratio distribution; do high-fly-ash mixes differ in strength; and for Energy Efficiency, how does heating load vary with glazing area and orientation.</t>
        </is>
      </c>
      <c r="N9" s="52" t="inlineStr">
        <is>
          <t>ANCHOR: Concrete Compressive Strength (UCI 165, CC BY 4.0, 1030 rows x 9 columns). SECONDARY for the architecture stream: Energy Efficiency (UCI 242, CC BY 4.0, 768 rows x 8 features, heating and cooling load targets).</t>
        </is>
      </c>
      <c r="O9" s="52" t="inlineStr">
        <is>
          <t>Ten Questions, No Help - a timed, unassisted interrogation of an unfamiliar dataset. Directly calibrates students against the Week 7 test format.</t>
        </is>
      </c>
      <c r="P9" s="52" t="inlineStr">
        <is>
          <t>A5: complete the six automatically checked campus-energy tasks in practicals/W05/&lt;cohort&gt;/W05_student.ipynb. The Twelve Questions anchor-data investigation remains practice.</t>
        </is>
      </c>
      <c r="Q9" s="52" t="inlineStr">
        <is>
          <t>QUIZ 5 - pandas and judging a dataset
A mask confused with a filtered frame, a groupby result whose shape is misread, a dtype of 'object' on a numeric column, and one question on where a dataset came from.</t>
        </is>
      </c>
      <c r="R9" s="52" t="inlineStr">
        <is>
          <t>DATA ANALYSIS PROJECT launched. Each team selects a dataset from the approved list (or proposes one for approval), and registers the engineering question it will answer.</t>
        </is>
      </c>
      <c r="S9" s="52" t="inlineStr">
        <is>
          <t>A5 contributes to Practical Challenges &amp; Assignments (10%). The Data Analysis Project is 10% in its own right. pandas fluency is the core of Practical Test 1 (Week 7).</t>
        </is>
      </c>
      <c r="T9" s="52" t="inlineStr">
        <is>
          <t>• MITIGATION REQUIRED for the Friday cohorts: Fri 09 Oct 2026 is Uganda Independence Day. Publish this session as a recorded walkthrough plus the Twelve Questions notebook by Wed 07 Oct, hold a 45-minute online clinic, and open Week 6 with a 30-minute consolidation. Alternatively secure a Faculty-approved make-up slot.
• Prepare the side-by-side loops-vs-pandas comparison.
• Author the Twelve Questions with a marked-up solution and expected physical units.
• Assemble the approved dataset list for the Data Analysis Project, with every link verified in the week of use.
• Pre-download all datasets to the network share - do not rely on Kaggle being reachable in class.</t>
        </is>
      </c>
      <c r="U9" s="52" t="inlineStr">
        <is>
          <t>• Computers; datasets pre-staged offline; pandas cheat sheet (printed).
• Recording equipment / screen capture for the Friday-cohort mitigation package.
• Approved dataset list handout with licences stated.
• Data Analysis Project brief and rubric (published, not summarised verbally).</t>
        </is>
      </c>
      <c r="V9" s="52" t="inlineStr">
        <is>
          <t>DIVERGENT: anchor dataset and the twelve questions. SHARED: all pandas and NumPy content, the Kaggle/UCI sourcing segment, the challenge format.</t>
        </is>
      </c>
    </row>
    <row r="10" ht="219.75" customHeight="1" s="36">
      <c r="A10" s="48" t="n">
        <v>6</v>
      </c>
      <c r="B10" s="49" t="inlineStr">
        <is>
          <t>Block 2 - Engineering Data</t>
        </is>
      </c>
      <c r="C10" s="49" t="inlineStr">
        <is>
          <t>Mon 12 Oct 2026</t>
        </is>
      </c>
      <c r="D10" s="49" t="inlineStr">
        <is>
          <t>Tue 13 Oct 2026
11:00-14:00 · Room 106</t>
        </is>
      </c>
      <c r="E10" s="49" t="inlineStr">
        <is>
          <t>Cohort A</t>
        </is>
      </c>
      <c r="F10" s="49" t="inlineStr">
        <is>
          <t>CML3112</t>
        </is>
      </c>
      <c r="G10" s="49" t="inlineStr">
        <is>
          <t>Introduction to Machine Learning in Design &amp; Infrastructure</t>
        </is>
      </c>
      <c r="H10" s="49" t="inlineStr">
        <is>
          <t>Dirty data, and seeing it: data quality through visualisation</t>
        </is>
      </c>
      <c r="I10" s="49" t="inlineStr">
        <is>
          <t>• Profile a dataset for missing values, duplicates, impossible values, wrong data types and outliers.
• Choose and justify a handling strategy for each defect, and state its effect on the conclusion.
• Produce histograms, box plots, scatter plots, line charts and a correlation heatmap, correctly labelled with units.
• Use a chart as an instrument of detection, not decoration - every chart answers a stated question.
• Distinguish a measurement error from a real and physically interesting extreme value.
• Write a short data quality statement for a dataset.</t>
        </is>
      </c>
      <c r="J10" s="49" t="inlineStr">
        <is>
          <t>• 0:00-0:15  Recall. Friday cohorts instead use 0:00-0:30 for Week 5 consolidation.
• 0:15-0:30  Why data defects matter (Friday 0:30-0:45).
• 0:30-0:55  Six defect classes and plausible causes (Friday 0:45-1:10).
• 0:55-1:20  Charts that find problems (Friday 1:10-1:20, using prepared examples).
• 1:20-1:30  Break, all cohorts.
• 1:30-2:05  PRACTICAL: Data Clinic. Find defects, apply a defensible handling strategy and justify each decision. Same 35 minutes for every cohort.
• 2:05-2:20  Frame the difference between measurement error and real behaviour.
• 2:20-2:40  Outlier Argument: discuss five flagged values, including two ambiguous cases.
• 2:40-3:00  Synthesis, Test 1 briefing, weekly assignment instructions and five-minute quiz.
• LAST FIVE MINUTES — QUIZ 6 - dirty data, and seeing it. Open the Form, project the QR, give it exactly five minutes, close it, and show the cohort's score distribution before they leave. Worth 1%, best 10 of 12 count, no resits. If the network is down, convert it to a 24-hour link and say so out loud.</t>
        </is>
      </c>
      <c r="K10" s="49" t="inlineStr">
        <is>
          <t>• Missingness: absent, zero-coded, sentinel-coded (-999), and missing-not-at-random.
• Deletion vs imputation (mean, median, forward-fill) and what each assumes.
• Duplicates: exact and near.
• Impossible values and physical range checks.
• Outliers: IQR and z-score screening, and their limits.
• dtype repair; dates and categories.
• Chart grammar: axis labels, units, titles as questions, no chartjunk.
• Correlation, its coefficient, and the reasons it misleads.</t>
        </is>
      </c>
      <c r="L10" s="49" t="inlineStr">
        <is>
          <t>• matplotlib (figure, axes, labels, saving).
• seaborn (histplot, boxplot, scatterplot, heatmap, pairplot).
• pandas: isna, duplicated, clip, astype, fillna, dropna, describe.
• AI assistant, supervised use 2: students may ask for three alternative approaches to a cleaning problem with trade-offs - and must then choose and defend one themselves.</t>
        </is>
      </c>
      <c r="M10" s="49" t="inlineStr">
        <is>
          <t>Data Clinic on a damaged dataset (see structure). Deliverable: a cleaning notebook, a defect register table, and a five-line data quality statement. Core tier: find and fix the six planted defects. Stretch tier: quantify how much the headline conclusion changes under two different cleaning strategies.
COHORT A FRAMING: Outlier Argument cases drawn from construction reality: a 90 MPa strength result, a building with implausibly low energy use, a negative crack width, an inspection dated in the future, and a slab thickness of 2.5 m.</t>
        </is>
      </c>
      <c r="N10" s="49" t="inlineStr">
        <is>
          <t>COURSE-AUTHORED damaged variant of the Concrete or Energy Efficiency dataset, plus a fictional 'building_performance_survey.csv' with zero-coded missing floor areas, duplicated exports, a text value in a numeric column, and two genuinely arguable extreme values (a passive-house outlier and a mis-metered building).</t>
        </is>
      </c>
      <c r="O10" s="49" t="inlineStr">
        <is>
          <t>The Outlier Argument - forces a judgement call with no lookup answer, and rewards domain reasoning over technique.</t>
        </is>
      </c>
      <c r="P10" s="49" t="inlineStr">
        <is>
          <t>A6 / W06: use the issued cohort notebook and TASKS.md in assessment_banks/W06. Complete the cleaning, summary and audit interfaces plus the designated written-evidence cell. The broader Data Clinic and project work are practice and project development.</t>
        </is>
      </c>
      <c r="Q10" s="49" t="inlineStr">
        <is>
          <t>QUIZ 6 - dirty data, and seeing it
A zero-coded missing value, a chart that does not answer the stated question, and an extreme value that has to be judged as an error or a real measurement.</t>
        </is>
      </c>
      <c r="R10" s="49" t="inlineStr">
        <is>
          <t>Data Analysis Project: cleaned dataset and at least four question-driven charts committed to the repository.</t>
        </is>
      </c>
      <c r="S10" s="49" t="inlineStr">
        <is>
          <t>A6 contributes to Practical Challenges &amp; Assignments (10%). Cleaning judgement and chart quality are 40% of the Practical Test 1 rubric.</t>
        </is>
      </c>
      <c r="T10" s="49" t="inlineStr">
        <is>
          <t>• AUTHOR the damaged dataset: six planted defects, documented in a lecturer key, plus two ambiguous extremes with no clean answer.
• Select the five values for The Outlier Argument so that two are genuinely arguable, and prepare the domain reasoning for each.
• Prepare 'good chart / bad chart' pairs from the cohort's own domain for the chart grammar section.
• For the Friday cohorts, open with the 30-minute Week 5 consolidation - budget it in and cut the demonstration accordingly.
• Publish the Practical Test 1 format and rubric this week. Students must never meet a rubric for the first time in the test.</t>
        </is>
      </c>
      <c r="U10" s="49" t="inlineStr">
        <is>
          <t>• Computers; the damaged dataset offline; seaborn/matplotlib cheat sheet.
• Printed defect register template.
• Practical Test 1 information sheet and rubric for distribution.
• Colour printing or a good projector for the chart-quality comparison.</t>
        </is>
      </c>
      <c r="V10" s="49" t="inlineStr">
        <is>
          <t>DIVERGENT: the damaged dataset and the five outlier cases. SHARED: all cleaning and visualisation content.</t>
        </is>
      </c>
    </row>
    <row r="11" ht="219.75" customHeight="1" s="36">
      <c r="A11" s="53" t="n">
        <v>7</v>
      </c>
      <c r="B11" s="54" t="inlineStr">
        <is>
          <t>ASSESSMENT WEEK 1</t>
        </is>
      </c>
      <c r="C11" s="54" t="inlineStr">
        <is>
          <t>Mon 19 Oct 2026</t>
        </is>
      </c>
      <c r="D11" s="54" t="inlineStr">
        <is>
          <t>Tue 20 Oct 2026
11:00-14:00 · Room 106</t>
        </is>
      </c>
      <c r="E11" s="54" t="inlineStr">
        <is>
          <t>Cohort A</t>
        </is>
      </c>
      <c r="F11" s="54" t="inlineStr">
        <is>
          <t>CML3112</t>
        </is>
      </c>
      <c r="G11" s="54" t="inlineStr">
        <is>
          <t>Introduction to Machine Learning in Design &amp; Infrastructure</t>
        </is>
      </c>
      <c r="H11" s="54" t="inlineStr">
        <is>
          <t>PRACTICAL TEST 1 - Data Investigation (individual, offline)</t>
        </is>
      </c>
      <c r="I11" s="54" t="inlineStr">
        <is>
          <t>• Independently investigate an unfamiliar engineering dataset under time pressure.
• Profile, clean and justify, without a prescribed method.
• Answer stated questions with evidence and correct units.
• Produce charts that answer questions.
• Draw an engineering conclusion and state what further data would be needed.
• Explain their own reasoning in typed offline responses, without executing code or using AI.</t>
        </is>
      </c>
      <c r="J11" s="54" t="inlineStr">
        <is>
          <t>• 0:00-0:15  Seating, machine allocation, dataset variant distribution, rules read aloud, offline mode confirmed.
• 0:15-2:15  TEST, PART A (practical, 2 hours). Individual. An unfamiliar dataset from the cohort's domain plus a task sheet: load and profile; identify and handle defects with a written justification for each; answer three stated engineering questions with evidence; produce three charts, each captioned with the question it answers; list five findings; make one engineering recommendation.
• 2:15-2:40  TEST, PART B (written reasoning, 25 minutes, typed offline responses only; no code execution). Four short questions on their own submission: why that cleaning decision, what the chart does not show, what would change the conclusion, and what data is missing.
• 2:40-3:00  Collection, checksum of submissions, immediate structural check, dismissal.</t>
        </is>
      </c>
      <c r="K11" s="54" t="inlineStr">
        <is>
          <t>• No new concepts. Weeks 1-6 are examined: pandas, cleaning judgement, visualisation, engineering interpretation.
• Examined implicitly: the ability to proceed without instructions.</t>
        </is>
      </c>
      <c r="L11" s="54" t="inlineStr">
        <is>
          <t>• Permitted: Python, VS Code or Jupyter, pandas, NumPy, matplotlib, seaborn, and an OFFLINE documentation bundle.
• Prohibited: internet access, AI assistants, messaging and shared drives. Use the invigilated offline lab and approved-materials checks; offline access alone does not prevent a local AI assistant.
• Rationale published to students in Week 6: AI is permitted and encouraged in projects, where the work is explained and defended; it is excluded from the two tests, which certify unaided capability.</t>
        </is>
      </c>
      <c r="M11" s="54" t="inlineStr">
        <is>
          <t>The test is the practical. Duration 2h00 practical + 0h25 written. Three parallel dataset variants are issued in a checkerboard seating pattern to remove any benefit from collusion.</t>
        </is>
      </c>
      <c r="N11" s="54" t="inlineStr">
        <is>
          <t>UNSEEN test datasets, three matched variants from construction, structural or building performance data. Suggested sources: a held-back subset of Energy Efficiency (UCI 242), Concrete Slump Test (UCI 182 - VERIFY before use), and a course-authored pavement or road condition survey. Variants must be matched for row count, defect count and difficulty.</t>
        </is>
      </c>
      <c r="O11" s="54" t="inlineStr">
        <is>
          <t>The entire assessment is the challenge: an unfamiliar dataset, no prescribed method, and marks awarded for reasoning as much as for result.</t>
        </is>
      </c>
      <c r="P11" s="54" t="inlineStr">
        <is>
          <t>None issued. Week 8 pre-reading only (a two-page primer on the idea of fitting a line), so the test week carries no homework load.</t>
        </is>
      </c>
      <c r="Q11" s="54" t="inlineStr">
        <is>
          <t>—</t>
        </is>
      </c>
      <c r="R11" s="54" t="inlineStr">
        <is>
          <t>Data Analysis Project continues outside class; due Week 8.</t>
        </is>
      </c>
      <c r="S11" s="54" t="inlineStr">
        <is>
          <t>PRACTICAL TEST 1 = 15% of the Semester 1 mark. Individual. Rubric: profiling 15, cleaning decisions and justification 20, visualisation 20, findings correctness 20, engineering interpretation 15, notebook clarity and reproducibility 10.</t>
        </is>
      </c>
      <c r="T11" s="54" t="inlineStr">
        <is>
          <t>• CAPACITY PLAN: confirm machine and seat availability against cohort size now. Cohort A (~100) will very likely require two sittings with different dataset variants, or a BYOD-plus-lab hybrid. Escalate to the Faculty in Week 1, not Week 6.
• Author three parallel dataset variants of matched difficulty, plus a model answer and a mark scheme for each.
• Build the offline bundle: datasets, offline pandas/seaborn documentation, task sheet. Test it on a machine with the network cable physically unplugged.
• Prepare the invigilation plan, seating chart, and a submission collection method that works without a network (USB collection or a local drop folder).
• Write a structural auto-check script (does the notebook run top to bottom? are the required sections present?) to make ~100 scripts markable in reasonable time.
• Agree the moderation plan and the late/absent policy with the Faculty in advance.</t>
        </is>
      </c>
      <c r="U11" s="54" t="inlineStr">
        <is>
          <t>• Invigilated lab, offline. Confirmed machine count. Spare machines and a power contingency.
• USB drives or a local drop folder for collection.
• Printed task sheets (one per variant) and typed notebook response cells for Part B.
• Second invigilator for any sitting above 40 students.
• Published rubric (issued Week 6).</t>
        </is>
      </c>
      <c r="V11" s="54" t="inlineStr">
        <is>
          <t>DIVERGENT: the three dataset variants and their mark schemes. SHARED: format, rules, duration, rubric, offline bundle.</t>
        </is>
      </c>
    </row>
    <row r="12" ht="219.75" customHeight="1" s="36">
      <c r="A12" s="48" t="n">
        <v>8</v>
      </c>
      <c r="B12" s="49" t="inlineStr">
        <is>
          <t>Block 3 - The Machine Learning Core</t>
        </is>
      </c>
      <c r="C12" s="49" t="inlineStr">
        <is>
          <t>Mon 26 Oct 2026</t>
        </is>
      </c>
      <c r="D12" s="49" t="inlineStr">
        <is>
          <t>Tue 27 Oct 2026
11:00-14:00 · Room 106</t>
        </is>
      </c>
      <c r="E12" s="49" t="inlineStr">
        <is>
          <t>Cohort A</t>
        </is>
      </c>
      <c r="F12" s="49" t="inlineStr">
        <is>
          <t>CML3112</t>
        </is>
      </c>
      <c r="G12" s="49" t="inlineStr">
        <is>
          <t>Introduction to Machine Learning in Design &amp; Infrastructure</t>
        </is>
      </c>
      <c r="H12" s="49" t="inlineStr">
        <is>
          <t>Learning from data: the first model</t>
        </is>
      </c>
      <c r="I12" s="49" t="inlineStr">
        <is>
          <t>• Express an engineering question as a supervised learning task, naming the features and the target.
• Explain why data is split into training and test sets, using an argument a non-specialist would accept.
• Fit a linear regression, predict, and inspect the coefficients with appropriate caution.
• Compute MAE, RMSE and R-squared, and state the error in the physical units of the problem.
• Beat, or fail to beat, a trivial baseline - and interpret either outcome correctly.
• Explain why a good fit is not evidence of a causal mechanism.</t>
        </is>
      </c>
      <c r="J12" s="49" t="inlineStr">
        <is>
          <t>• 0:00-0:15  Practical Test 1 debrief: the three most common failures, shown anonymously, with the fix.
• 0:15-0:45  Concept: from 'draw the best line by eye' on the projector to 'minimise the total error', to the honest analogy for train/test - revising with the exam paper in front of you tells you nothing about what you know.
• 0:45-1:10  Demonstration: a complete regression in about fifteen lines on the anchor dataset. Every line is justified out loud. Predicted-vs-actual is plotted before any metric is quoted.
• 1:10-2:20  PRACTICAL - First Model. Students build, evaluate and interpret a regression on the cohort anchor dataset; then remove a feature, add a feature, and record what happens to the error in physical units.
• 2:20-2:45  CHALLENGE - Beat the Baseline. A leaderboard is run against a predict-the-mean baseline. Teams that beat it must explain why; teams that do not must diagnose why not. Both are valid outcomes and are marked the same way.
• 2:45-3:00  Data Analysis Project submitted. Engineering ML Project brief previewed.
• LAST FIVE MINUTES — QUIZ 7 - the first model. Open the Form, project the QR, give it exactly five minutes, close it, and show the cohort's score distribution before they leave. Worth 1%, best 10 of 12 count, no resits. If the network is down, convert it to a 24-hour link and say so out loud.</t>
        </is>
      </c>
      <c r="K12" s="49" t="inlineStr">
        <is>
          <t>• Supervised learning; feature matrix X and target vector y.
• Train/test split; random_state and reproducibility.
• Fitting, prediction, residual, loss.
• MAE, RMSE, R-squared - and which one an engineer should quote to a client.
• Error in physical units as the only honest report.
• Baseline models; the meaning of 'better than nothing'.
• Coefficients as association, not mechanism; correlation is not causation.</t>
        </is>
      </c>
      <c r="L12" s="49" t="inlineStr">
        <is>
          <t>• scikit-learn: train_test_split, LinearRegression, mean_absolute_error, mean_squared_error, r2_score.
• matplotlib for predicted-vs-actual and residual plots.
• The sklearn API pattern - fit / predict / score - named explicitly as the pattern that every model in the course will follow.</t>
        </is>
      </c>
      <c r="M12" s="49" t="inlineStr">
        <is>
          <t>First Model notebook (see structure). Core tier: a working, evaluated regression with the error stated in physical units. Stretch tier: a residual plot with a written interpretation of where the model is worst and a hypothesis as to why.
COHORT A FRAMING: The error must be reported as 'plus or minus X MPa' or 'plus or minus X kWh/m2', and the class must answer: is that good enough to skip a laboratory test, or to size a cooling system? The answer is usually no, which is the most valuable thing they learn this week.</t>
        </is>
      </c>
      <c r="N12" s="49" t="inlineStr">
        <is>
          <t>Concrete Compressive Strength (UCI 165) for the civil stream; Energy Efficiency (UCI 242) for the architecture stream. Both are regression with a physically meaningful error unit - MPa and kWh/m2 respectively.</t>
        </is>
      </c>
      <c r="O12" s="49" t="inlineStr">
        <is>
          <t>Beat the Baseline. The baseline is the pedagogical device: it makes 'R-squared = 0.62' mean something, and it makes an unimpressive model an interesting result rather than a failure.</t>
        </is>
      </c>
      <c r="P12" s="49" t="inlineStr">
        <is>
          <t>A7 / W08: submit the issued cohort notebook with the regression/error interfaces and written interpretation of the supplied comparison. See assessment_banks/W08/&lt;cohort&gt;/A/TASKS.md.</t>
        </is>
      </c>
      <c r="Q12" s="49" t="inlineStr">
        <is>
          <t>QUIZ 7 - the first model
A score quoted on the training rows, a residual plot read the wrong way round, MAE against RMSE on the same data, and a baseline nobody computed.</t>
        </is>
      </c>
      <c r="R12" s="49" t="inlineStr">
        <is>
          <t>DATA ANALYSIS PROJECT DUE (10%). Engineering ML Project brief previewed; teams begin scoping.</t>
        </is>
      </c>
      <c r="S12" s="49" t="inlineStr">
        <is>
          <t>A7 contributes to Practical Challenges (10%). Data Analysis Project is submitted and marked (10%). Regression, metrics and train/test are core to Practical Test 2 (Week 14).</t>
        </is>
      </c>
      <c r="T12" s="49" t="inlineStr">
        <is>
          <t>• Mark Practical Test 1 before this session, or at least identify the three common failures - the debrief is worth more than a marked script returned in Week 11.
• Rehearse the fifteen-line demonstration until it is flawless. This is the single most important demonstration of the semester.
• Prepare the baseline leaderboard (a shared sheet or a simple script) and pre-compute the baseline score.
• Prepare the two-page 'fitting a line' primer as pre-reading.
• Draft the Engineering ML Project brief and rubric for release in Week 9.</t>
        </is>
      </c>
      <c r="U12" s="49" t="inlineStr">
        <is>
          <t>• Computers; anchor dataset offline; projector.
• Leaderboard display.
• Printed sklearn API card (fit / predict / score / metrics).
• Marked or triaged Test 1 scripts for the debrief.</t>
        </is>
      </c>
      <c r="V12" s="49" t="inlineStr">
        <is>
          <t>DIVERGENT: dataset, target, physical error units, and the 'is it good enough' question. SHARED: all regression and metric content.</t>
        </is>
      </c>
    </row>
    <row r="13" ht="219.75" customHeight="1" s="36">
      <c r="A13" s="46" t="n">
        <v>9</v>
      </c>
      <c r="B13" s="47" t="inlineStr">
        <is>
          <t>Block 3 - The Machine Learning Core</t>
        </is>
      </c>
      <c r="C13" s="47" t="inlineStr">
        <is>
          <t>Mon 02 Nov 2026</t>
        </is>
      </c>
      <c r="D13" s="47" t="inlineStr">
        <is>
          <t>Tue 03 Nov 2026
11:00-14:00 · Room 106</t>
        </is>
      </c>
      <c r="E13" s="47" t="inlineStr">
        <is>
          <t>Cohort A</t>
        </is>
      </c>
      <c r="F13" s="47" t="inlineStr">
        <is>
          <t>CML3112</t>
        </is>
      </c>
      <c r="G13" s="47" t="inlineStr">
        <is>
          <t>Introduction to Machine Learning in Design &amp; Infrastructure</t>
        </is>
      </c>
      <c r="H13" s="47" t="inlineStr">
        <is>
          <t>Classification: predicting which category a case belongs to</t>
        </is>
      </c>
      <c r="I13" s="47" t="inlineStr">
        <is>
          <t>• Distinguish a regression task from a classification task, and recognise when a continuous target should be banded.
• Fit and compare logistic regression, a decision tree and a random forest.
• Read a confusion matrix and name each of the four cells in the language of the engineering problem.
• Explain why accuracy is misleading under class imbalance, with a worked case.
• Choose between precision and recall by reasoning about the cost of each kind of mistake.
• Read a feature importance ranking with appropriate scepticism.</t>
        </is>
      </c>
      <c r="J13" s="47" t="inlineStr">
        <is>
          <t>• 0:00-0:25  Concept: the engineering decision problem. Two mistakes are put on the board with their real costs - a false alarm that stops production, and a missed failure that destroys a machine or hurts someone. Everything else follows from that asymmetry.
• 0:25-0:55  Demonstration: a decision tree shallow enough to draw on the board and read as an engineering rule; then the same problem with a random forest, and an honest statement of what was traded away.
• 0:55-2:00  PRACTICAL - Failure Classifier. Students build three classifiers on the cohort dataset, produce confusion matrices, and complete a cost table: what does each cell cost us, in money, downtime or safety?
• 2:00-2:40  CHALLENGE - The 97% Trap. Teams are handed a dataset and a model reporting 97% accuracy. They are told only that the plant manager is unhappy. They must discover the class imbalance, prove the model is useless, and propose a better metric. No hints.
• 2:40-3:00  ENGINEERING ML PROJECT brief and rubric released.
• LAST FIVE MINUTES — QUIZ 8 - classification. Open the Form, project the QR, give it exactly five minutes, close it, and show the cohort's score distribution before they leave. Worth 1%, best 10 of 12 count, no resits. If the network is down, convert it to a 24-hour link and say so out loud.</t>
        </is>
      </c>
      <c r="K13" s="47" t="inlineStr">
        <is>
          <t>• Class, label, decision boundary.
• Logistic regression and its probability output; the threshold as an engineering choice, not a constant.
• Decision trees: splits, depth, readability as a genuine advantage.
• Ensembles and random forests; variance reduction, intuitively.
• Confusion matrix; TP, FP, FN, TN in domain language.
• Accuracy, precision, recall, F1; the precision-recall trade-off.
• Class imbalance and stratification.
• Cost-sensitive thinking; feature importance and its instability.</t>
        </is>
      </c>
      <c r="L13" s="47" t="inlineStr">
        <is>
          <t>• scikit-learn: LogisticRegression, DecisionTreeClassifier, RandomForestClassifier, confusion_matrix, ConfusionMatrixDisplay, classification_report, plot_tree.
• seaborn for the confusion matrix heatmap.
• pandas for the cost table.</t>
        </is>
      </c>
      <c r="M13" s="47" t="inlineStr">
        <is>
          <t>Failure Classifier notebook with three models, three confusion matrices, a cost table and a written recommendation naming the metric the team would report to management and why. Core tier: three working models and correct confusion matrix reading. Stretch tier: move the decision threshold and show the precision-recall trade-off as a curve.
COHORT A FRAMING: Cost table categories: cost of an unnecessary rejection of a concrete pour, cost of accepting a substandard pour, cost of an unnecessary plant inspection, cost of a plant failure on site including delay and safety consequence.</t>
        </is>
      </c>
      <c r="N13" s="47" t="inlineStr">
        <is>
          <t>Two options, both classification. (i) Concrete strength banded into specification classes (below 25, 25-40, above 40 MPa) - the banding decision is itself taught as an engineering choice. (ii) AI4I 2020 Predictive Maintenance (UCI 601, CC BY 4.0, 10,000 rows, 3.4% failure rate) framed as construction plant failure, which supplies a genuine imbalance for The 97% Trap.</t>
        </is>
      </c>
      <c r="O13" s="47" t="inlineStr">
        <is>
          <t>The 97% Trap. Deliberately adversarial. It inoculates students against the single most common failure in applied ML, and it is a low-guidance session by design.</t>
        </is>
      </c>
      <c r="P13" s="47" t="inlineStr">
        <is>
          <t>A8 / W09: submit the issued cohort notebook with classification checks and written interpretation of the supplied cost scenario. See assessment_banks/W09/&lt;cohort&gt;/A/TASKS.md.</t>
        </is>
      </c>
      <c r="Q13" s="47" t="inlineStr">
        <is>
          <t>QUIZ 8 - classification
A confusion matrix read for what the model does badly, an accuracy figure quoted without the class balance, and a threshold moved with its effect on each cell.</t>
        </is>
      </c>
      <c r="R13" s="47" t="inlineStr">
        <is>
          <t>ENGINEERING ML PROJECT launched (25%, runs to Week 15). Teams must register a problem statement, a candidate dataset and a named target variable by Week 10.</t>
        </is>
      </c>
      <c r="S13" s="47" t="inlineStr">
        <is>
          <t>A8 contributes to Practical Challenges (10%). The Engineering ML Project brief and rubric are now live. Classification and metric choice are examined in Practical Test 2.</t>
        </is>
      </c>
      <c r="T13" s="47" t="inlineStr">
        <is>
          <t>• Construct the 97% Trap dataset with a realistic imbalance (3-5% positive class) and a pre-built notebook that reports the misleading accuracy.
• Prepare a decision tree that is genuinely readable as an engineering rule - tune max_depth in advance so the board version is honest.
• Prepare the cost table template with cohort-specific cost categories.
• Finalise and publish the Engineering ML Project brief, rubric and milestone schedule.
• Prepare the approved project dataset list, with a route for teams proposing their own.</t>
        </is>
      </c>
      <c r="U13" s="47" t="inlineStr">
        <is>
          <t>• Computers; cohort classification dataset offline; projector and a large whiteboard for the drawn tree.
• Printed cost table template and confusion matrix card.
• Engineering ML Project brief and rubric (printed and posted).
• The 97% Trap notebook distributed offline.</t>
        </is>
      </c>
      <c r="V13" s="47" t="inlineStr">
        <is>
          <t>DIVERGENT: dataset, class definitions and cost categories. SHARED: all classification content and the 97% Trap design.</t>
        </is>
      </c>
    </row>
    <row r="14" ht="219.75" customHeight="1" s="36">
      <c r="A14" s="48" t="n">
        <v>10</v>
      </c>
      <c r="B14" s="49" t="inlineStr">
        <is>
          <t>Block 3 - The Machine Learning Core</t>
        </is>
      </c>
      <c r="C14" s="49" t="inlineStr">
        <is>
          <t>Mon 09 Nov 2026</t>
        </is>
      </c>
      <c r="D14" s="49" t="inlineStr">
        <is>
          <t>Tue 10 Nov 2026
11:00-14:00 · Room 106</t>
        </is>
      </c>
      <c r="E14" s="49" t="inlineStr">
        <is>
          <t>Cohort A</t>
        </is>
      </c>
      <c r="F14" s="49" t="inlineStr">
        <is>
          <t>CML3112</t>
        </is>
      </c>
      <c r="G14" s="49" t="inlineStr">
        <is>
          <t>Introduction to Machine Learning in Design &amp; Infrastructure</t>
        </is>
      </c>
      <c r="H14" s="49" t="inlineStr">
        <is>
          <t>Can I trust this model?</t>
        </is>
      </c>
      <c r="I14" s="49" t="inlineStr">
        <is>
          <t>• Diagnose overfitting and underfitting from the gap between training and test performance.
• Run k-fold cross-validation and report a mean with a spread, rather than a single number.
• Identify data leakage in a pipeline and name which of the four kinds it is.
• Rebuild a leaking workflow correctly using a Pipeline.
• Select a metric and defend the choice against a stated engineering consequence.
• State the conditions under which their own model should not be used.</t>
        </is>
      </c>
      <c r="J14" s="49" t="inlineStr">
        <is>
          <t>• 0:00-0:30  Concept: generalisation. Three error stories are told - the model that memorised, the model that never learned, and the model that cheated. Students must learn to tell them apart from evidence.
• 0:30-0:55  Demonstration: a tree depth sweep in which training accuracy rises to 1.0 while test accuracy falls. Then cross_val_score, and the discovery that a single train/test split was itself a noisy measurement.
• 0:55-2:00  PRACTICAL - Trust Lab. Students produce a validation curve, run 5-fold cross-validation, and then deliberately introduce two leaks: scaling before the split, and including a column that is only known after the outcome. They record the impossibly good score each leak produces, then fix both with a Pipeline.
• 2:00-2:40  CHALLENGE - Too Good To Be True. Teams receive a notebook reporting R-squared = 0.998 and must find out why. The planted causes differ by team: target leakage, duplicated rows spanning the split, and an identifier column correlated with the target.
• 2:40-3:00  Project Milestone 1 review, in team slots.
• LAST FIVE MINUTES — QUIZ 9 - can I trust this model?. Open the Form, project the QR, give it exactly five minutes, close it, and show the cohort's score distribution before they leave. Worth 1%, best 10 of 12 count, no resits. If the network is down, convert it to a 24-hour link and say so out loud.</t>
        </is>
      </c>
      <c r="K14" s="49" t="inlineStr">
        <is>
          <t>• Generalisation; the bias-variance idea, described without algebra.
• Overfitting, underfitting, and the diagnostic gap.
• Validation set vs test set; why the test set is spent only once.
• k-fold and stratified k-fold cross-validation; mean and standard deviation of a score.
• Data leakage: train-test contamination, target leakage, temporal leakage, group leakage.
• Pipeline as the structural fix for leakage, not merely as tidy code.
• Metric selection as an engineering decision.
• The domain of validity of a model; reproducibility and seeds.</t>
        </is>
      </c>
      <c r="L14" s="49" t="inlineStr">
        <is>
          <t>• scikit-learn: cross_val_score, KFold, StratifiedKFold, validation_curve, Pipeline, StandardScaler.
• matplotlib for the validation curve.
• AI assistant, supervised use 3 - the advanced prompt: 'review this pipeline for data leakage and explain any problem you find'. Students must verify the answer, and are marked on the verification.</t>
        </is>
      </c>
      <c r="M14" s="49" t="inlineStr">
        <is>
          <t>Trust Lab (see structure). Deliverable: a notebook containing the validation curve, cross-validation results reported as mean and standard deviation, two demonstrated leaks with their inflated scores, and the Pipeline-based fix. Core tier: all of the above. Stretch tier: a written 'conditions of use' statement for their own project model.</t>
        </is>
      </c>
      <c r="N14" s="49" t="inlineStr">
        <is>
          <t>The team's own project dataset, plus three course-authored 'Too Good To Be True' notebooks. Planted causes for this cohort: a 28-day strength column left in the features while predicting strength class; duplicated mix records spanning the split; and a specimen ID that encodes the batch and therefore the target.</t>
        </is>
      </c>
      <c r="O14" s="49" t="inlineStr">
        <is>
          <t>Too Good To Be True. Three different planted causes across the room, so teams cannot copy a diagnosis. This is the highest-value single exercise in the semester: leakage is the defect most likely to appear in student projects and in professional practice.</t>
        </is>
      </c>
      <c r="P14" s="49" t="inlineStr">
        <is>
          <t>A9 / W10: submit the issued cohort notebook with group-split/preprocessing checks and written leakage/conditions-of-use evidence. The broader project Trust Lab remains project development.</t>
        </is>
      </c>
      <c r="Q14" s="49" t="inlineStr">
        <is>
          <t>QUIZ 9 - can I trust this model?
Train and test scores matched to one of the three error stories, four pipelines with one that leaks, and a cross-validated score quoted without its spread. The highest-value quiz of the twelve, and worth protecting the five minutes for.</t>
        </is>
      </c>
      <c r="R14" s="49" t="inlineStr">
        <is>
          <t>PROJECT MILESTONE 1 (graded milestone): problem statement, dataset with licence, named target, and a baseline notebook. Each member's contribution log must be present in the repository.</t>
        </is>
      </c>
      <c r="S14" s="49" t="inlineStr">
        <is>
          <t>A9 contributes to Practical Challenges (10%). PM1 is a graded milestone within the Engineering ML Project (25%). Validation carries 15 of the 100 marks in the project rubric, and leakage control carries 20 of the 100 marks in the Practical Test 2 rubric.</t>
        </is>
      </c>
      <c r="T14" s="49" t="inlineStr">
        <is>
          <t>• Build three separate Too Good To Be True notebooks, one per planted cause, with a diagnosis key.
• Pre-run the depth sweep so the demonstration cannot fail live.
• Prepare the PM1 review slot booking sheet. For ~22 teams, run this as a 4-minute stand-up per team with a printed checklist, not a conversation.
• Prepare the contribution log template (who did what, with commit evidence).
• Draft the Practical Test 2 specification now, so Week 11-13 teaching can be aligned to it.</t>
        </is>
      </c>
      <c r="U14" s="49" t="inlineStr">
        <is>
          <t>• Computers; the three challenge notebooks offline; projector.
• Printed PM1 checklist and contribution log template.
• Printed leakage taxonomy card (four kinds, one example each).
• Timer for the PM1 stand-ups.</t>
        </is>
      </c>
      <c r="V14" s="49" t="inlineStr">
        <is>
          <t>DIVERGENT: the planted leakage causes are dressed in construction terms. SHARED: all validation content.</t>
        </is>
      </c>
    </row>
    <row r="15" ht="219.75" customHeight="1" s="36">
      <c r="A15" s="46" t="n">
        <v>11</v>
      </c>
      <c r="B15" s="47" t="inlineStr">
        <is>
          <t>Block 4 - Practical Machine Learning Judgement</t>
        </is>
      </c>
      <c r="C15" s="47" t="inlineStr">
        <is>
          <t>Mon 16 Nov 2026</t>
        </is>
      </c>
      <c r="D15" s="47" t="inlineStr">
        <is>
          <t>Tue 17 Nov 2026
11:00-14:00 · Room 106</t>
        </is>
      </c>
      <c r="E15" s="47" t="inlineStr">
        <is>
          <t>Cohort A</t>
        </is>
      </c>
      <c r="F15" s="47" t="inlineStr">
        <is>
          <t>CML3112</t>
        </is>
      </c>
      <c r="G15" s="47" t="inlineStr">
        <is>
          <t>Introduction to Machine Learning in Design &amp; Infrastructure</t>
        </is>
      </c>
      <c r="H15" s="47" t="inlineStr">
        <is>
          <t>Features: where engineering knowledge enters the model</t>
        </is>
      </c>
      <c r="I15" s="47" t="inlineStr">
        <is>
          <t>• Encode categorical variables appropriately and explain why the encoding choice matters.
• Scale features and state which models are sensitive to scale and which are not.
• Construct a feature from domain knowledge and measure whether it helped.
• Select features defensibly, including by ablation.
• Assemble a leak-proof ColumnTransformer inside a Pipeline.
• Write a feature dictionary that another engineer could work from.</t>
        </is>
      </c>
      <c r="J15" s="47" t="inlineStr">
        <is>
          <t>• 0:00-0:25  Concept: the model knows only what it is fed. A feature is engineering knowledge written in a form the model can use - and it is the one place where a domain engineer beats a better programmer.
• 0:25-0:55  Demonstration: one-hot and ordinal encoding; StandardScaler inside a Pipeline; and then a single domain-derived feature that outperforms every raw column combined.
• 0:55-2:00  PRACTICAL - Feature Workshop. Students engineer five features from domain knowledge, then measure each one's contribution by ablation and tabulate the result. A feature that does not help must be reported, not deleted.
• 2:00-2:40  CHALLENGE - Domain Advantage. The room is split. Half of each pair of teams may use only the raw columns; the other half must invent features and may not add any new model. They compete, then explain the difference. The lesson lands because they generated the evidence.
• 2:40-3:00  Project Milestone 2 briefing.
• LAST FIVE MINUTES — QUIZ 10 - features. Open the Form, project the QR, give it exactly five minutes, close it, and show the cohort's score distribution before they leave. Worth 1%, best 10 of 12 count, no resits. If the network is down, convert it to a 24-hour link and say so out loud.</t>
        </is>
      </c>
      <c r="K15" s="47" t="inlineStr">
        <is>
          <t>• Categorical vs numeric vs ordinal; cardinality.
• One-hot and ordinal encoding; the dummy variable trap, briefly.
• Standardisation and min-max scaling; distance-based and gradient-based sensitivity vs tree-based indifference.
• Ratios, interactions, and dimensionless groups as features.
• Binning and thresholds derived from standards or codes of practice.
• Feature selection: correlation screening, importance, and ablation as the honest method.
• ColumnTransformer and Pipeline for mixed data types without leakage.
• The feature dictionary as a required project artefact.</t>
        </is>
      </c>
      <c r="L15" s="47" t="inlineStr">
        <is>
          <t>• scikit-learn: OneHotEncoder, OrdinalEncoder, StandardScaler, MinMaxScaler, ColumnTransformer, Pipeline, SelectKBest.
• pandas for feature construction and the ablation results table.
• Git: a branch per feature experiment, which is where branching finally has an obvious purpose.</t>
        </is>
      </c>
      <c r="M15" s="47" t="inlineStr">
        <is>
          <t>Feature Workshop (see structure). Deliverable: five engineered features, each with a stated physical rationale, plus an ablation table showing the effect of each on the chosen metric. Core tier: five features with the ablation table. Stretch tier: a feature that encodes a design code, standard or empirical relationship from their own discipline, with the reference cited.
COHORT A FRAMING: Domain features that should be engineered: water-to-cement ratio, aggregate-to-cement ratio, total binder content, fly ash as a proportion of binder, log of curing age, surface-area-to-volume ratio, window-to-wall ratio, and glazing area weighted by orientation. The water-to-cement ratio is the demonstration feature - it is a century-old piece of concrete technology that outperforms the raw component masses, which is exactly the point of the week.</t>
        </is>
      </c>
      <c r="N15" s="47" t="inlineStr">
        <is>
          <t>Concrete Compressive Strength (UCI 165) and Energy Efficiency (UCI 242).</t>
        </is>
      </c>
      <c r="O15" s="47" t="inlineStr">
        <is>
          <t>Domain Advantage - a controlled experiment run by the students on themselves, comparing raw data plus a better algorithm against domain knowledge plus a simple algorithm.</t>
        </is>
      </c>
      <c r="P15" s="47" t="inlineStr">
        <is>
          <t>A10 / W11: submit the issued cohort notebook with feature/error checks and written interpretation of the supplied ablation. Extend the method to your project separately.</t>
        </is>
      </c>
      <c r="Q15" s="47" t="inlineStr">
        <is>
          <t>QUIZ 10 - features
An ablation table read for which feature earned its place, a one-hot encoding on a high-cardinality column, and a scaler that made no difference to a tree.</t>
        </is>
      </c>
      <c r="R15" s="47" t="inlineStr">
        <is>
          <t>PROJECT MILESTONE 2 briefed this week and due at the start of Week 12 (graded milestone): cleaned dataset, feature dictionary, and a first properly evaluated model inside a Pipeline.</t>
        </is>
      </c>
      <c r="S15" s="47" t="inlineStr">
        <is>
          <t>A10 contributes to Practical Challenges (10%). PM2 is a graded milestone within the project (25%). Engineering reasoning carries 20 of the 100 project marks, and feature construction is where it is most visible.</t>
        </is>
      </c>
      <c r="T15" s="47" t="inlineStr">
        <is>
          <t>• Identify, in advance, the one domain feature per cohort that clearly beats the raw columns - and verify it empirically before class. If the demonstration fails, the week's argument fails.
• Prepare the Domain Advantage pairing so that both conditions are genuinely competitive.
• Prepare the ablation table template and the feature dictionary template.
• Publish the Practical Test 2 specification and rubric this week.</t>
        </is>
      </c>
      <c r="U15" s="47" t="inlineStr">
        <is>
          <t>• Computers; cohort dataset offline.
• Printed feature dictionary and ablation table templates.
• Cohort-specific reference sheet of standards, codes or empirical relations that can legitimately become features.
• Practical Test 2 specification and rubric for distribution.</t>
        </is>
      </c>
      <c r="V15" s="47" t="inlineStr">
        <is>
          <t>DIVERGENT: the feature set and the standards reference sheet (relevant concrete and building-envelope codes). SHARED: all encoding, scaling, pipeline and ablation content.</t>
        </is>
      </c>
    </row>
    <row r="16" ht="219.75" customHeight="1" s="36">
      <c r="A16" s="48" t="n">
        <v>12</v>
      </c>
      <c r="B16" s="49" t="inlineStr">
        <is>
          <t>Block 4 - Practical Machine Learning Judgement</t>
        </is>
      </c>
      <c r="C16" s="49" t="inlineStr">
        <is>
          <t>Mon 23 Nov 2026</t>
        </is>
      </c>
      <c r="D16" s="49" t="inlineStr">
        <is>
          <t>Tue 24 Nov 2026
11:00-14:00 · Room 106</t>
        </is>
      </c>
      <c r="E16" s="49" t="inlineStr">
        <is>
          <t>Cohort A</t>
        </is>
      </c>
      <c r="F16" s="49" t="inlineStr">
        <is>
          <t>CML3112</t>
        </is>
      </c>
      <c r="G16" s="49" t="inlineStr">
        <is>
          <t>Introduction to Machine Learning in Design &amp; Infrastructure</t>
        </is>
      </c>
      <c r="H16" s="49" t="inlineStr">
        <is>
          <t>Model comparison and engineering judgement (low-guidance week)</t>
        </is>
      </c>
      <c r="I16" s="49" t="inlineStr">
        <is>
          <t>• Design a fair comparison in which only the model changes.
• Tune one or two hyperparameters using search inside cross-validation.
• Weigh accuracy against interpretability, data requirements, computational cost and failure behaviour.
• Write a one-page recommendation that a supervising engineer could act on.
• Defend a modelling choice under hostile questioning, and concede when the challenge is correct.</t>
        </is>
      </c>
      <c r="J16" s="49" t="inlineStr">
        <is>
          <t>• 0:00-0:10  Where we got to, and what is different about this week.
• 0:10-0:30  Concept: the comparison protocol. What must be held constant, what may vary, and why a leaderboard without a protocol is meaningless. Then the five selection criteria beyond accuracy.
• 0:30-0:45  Demonstration: exactly one worked GridSearchCV inside a Pipeline. Short by design - this week the students do the work.
• 0:45-0:55  BREAK.
• 0:55-2:35  ENGINEERING AI CHALLENGE - Choose a Model and Defend It. Teams receive an unfamiliar dataset and a brief from a fictional client. They must run at least four candidate models under an identical protocol, tabulate the results, and produce a one-page recommendation. Use 70 minutes for project practice and reserve 30 minutes for each student to complete the issued W12 notebook and written evidence. The later defence round gives formative feedback on the project recommendation.
• 2:35-2:50  DEFENCE ROUND. Each team presents its recommendation to another team, whose job is to attack it. Two challenges must be raised and answered. The lecturer gives formative feedback on the challenges and defences.
• 2:50-2:55  Project Milestone 3 briefing and W12 upload instructions.
• 2:55-3:00  WEEKLY QUIZ. Five questions; two revisit earlier weeks.
• LAST FIVE MINUTES — QUIZ 11 - model comparison (integrative). Open the Form, project the QR, give it exactly five minutes, close it, and show the cohort's score distribution before they leave. Worth 1%, best 10 of 12 count, no resits. If the network is down, convert it to a 24-hour link and say so out loud.</t>
        </is>
      </c>
      <c r="K16" s="49" t="inlineStr">
        <is>
          <t>• Comparison protocol; controlling the experiment.
• Parameters vs hyperparameters.
• Grid search and random search; search nested inside cross-validation.
• Variance of an estimate; when a difference in score is not a real difference.
• Selection criteria: accuracy, interpretability, training and inference cost, data hunger, and failure mode.
• Interpretability as a regulatory and professional requirement, not a preference.
• The engineering decision memo as a written form.</t>
        </is>
      </c>
      <c r="L16" s="49" t="inlineStr">
        <is>
          <t>• scikit-learn: GridSearchCV, RandomizedSearchCV, cross_validate, and the Pipeline as the unit of comparison.
• pandas for the results table.
• XGBoost / LightGBM: named and demonstrated for sixty seconds only, then explicitly deferred to Semester 2. Students are told why - the tool is not the lesson.
• AI assistant: permitted for this challenge, with every use logged. The recommendation must be defended orally, which is what makes the logging honest.</t>
        </is>
      </c>
      <c r="M16" s="49" t="inlineStr">
        <is>
          <t>The challenge is the practical. Deliverable per team: a results table for at least four models under one protocol, and a one-page recommendation naming the chosen model, the metric, the trade-off accepted, and the conditions under which the recommendation would change.</t>
        </is>
      </c>
      <c r="N16" s="49" t="inlineStr">
        <is>
          <t>An unfamiliar construction or building dataset with a client brief. Suggested: a road roughness or pavement condition dataset, or a construction cost dataset (both to be sourced and VERIFIED in the week before use). The client brief should require that the recommendation be explainable to a client or a regulator, which forces the interpretability trade-off to bite.</t>
        </is>
      </c>
      <c r="O16" s="49" t="inlineStr">
        <is>
          <t>Choose a Model and Defend It, plus the adversarial Defence Round. This is the week that most directly rehearses professional engineering practice, and the least guided session before the test.</t>
        </is>
      </c>
      <c r="P16" s="49" t="inlineStr">
        <is>
          <t>A11 / W12: submit the issued cohort notebook with selection/error checks and written reasoning about the supplied constraints. The in-class recommendation and live defence are practice. This is the last weekly challenge.</t>
        </is>
      </c>
      <c r="Q16" s="49" t="inlineStr">
        <is>
          <t>QUIZ 11 - model comparison (integrative)
Whether a difference between two models is real given the fold spread, and which model a stated client constraint selects. TWO of the five questions are drawn from the Week 1-10 banks, which is what keeps the quizzes cumulative rather than disposable.</t>
        </is>
      </c>
      <c r="R16" s="49" t="inlineStr">
        <is>
          <t>PROJECT MILESTONE 3 briefed this week and due at the start of Week 13 (graded milestone): a model comparison table for the team's own project, with a justified selection.</t>
        </is>
      </c>
      <c r="S16" s="49" t="inlineStr">
        <is>
          <t>A11 contributes to Practical Challenges (10%) and is graded in-session. PM3 is a graded milestone within the project (25%). This session is the closest rehearsal for Practical Test 2.</t>
        </is>
      </c>
      <c r="T16" s="49" t="inlineStr">
        <is>
          <t>• Select the challenge dataset and write the fictional client brief. The brief must contain a real constraint - a cost, a safety consequence, or a requirement that the decision be explainable to a regulator.
• Pre-run the four candidate models to confirm the challenge is achievable in 100 minutes and that no single model trivially dominates.
• Print the question bank cards and brief any assistants: questions only, no answers, for the entire session.
• Prepare the recommendation template and the defence round pairing.
• Prepare the one-minute XGBoost demonstration and the explicit deferral message.</t>
        </is>
      </c>
      <c r="U16" s="49" t="inlineStr">
        <is>
          <t>• Computers; challenge dataset offline; printed client briefs.
• Printed question-bank cards and recommendation template.
• Room layout allowing team-to-team defence (movable seating strongly preferred).
• Timer and a visible protocol poster.</t>
        </is>
      </c>
      <c r="V16" s="49" t="inlineStr">
        <is>
          <t>DIVERGENT: challenge dataset and client brief. SHARED: protocol, defence round, criteria.</t>
        </is>
      </c>
    </row>
    <row r="17" ht="219.75" customHeight="1" s="36">
      <c r="A17" s="46" t="n">
        <v>13</v>
      </c>
      <c r="B17" s="47" t="inlineStr">
        <is>
          <t>Block 5 - Engineering Project</t>
        </is>
      </c>
      <c r="C17" s="47" t="inlineStr">
        <is>
          <t>Mon 30 Nov 2026</t>
        </is>
      </c>
      <c r="D17" s="47" t="inlineStr">
        <is>
          <t>Tue 01 Dec 2026
11:00-14:00 · Room 106</t>
        </is>
      </c>
      <c r="E17" s="47" t="inlineStr">
        <is>
          <t>Cohort A</t>
        </is>
      </c>
      <c r="F17" s="47" t="inlineStr">
        <is>
          <t>CML3112</t>
        </is>
      </c>
      <c r="G17" s="47" t="inlineStr">
        <is>
          <t>Introduction to Machine Learning in Design &amp; Infrastructure</t>
        </is>
      </c>
      <c r="H17" s="47" t="inlineStr">
        <is>
          <t>Project studio: reproducibility, communication and peer review</t>
        </is>
      </c>
      <c r="I17" s="47" t="inlineStr">
        <is>
          <t>• Structure a repository that a stranger could clone and run.
• Write a README that states the problem, the data, the method, the result and the limitations.
• Capture an environment so the analysis can be reproduced.
• Report a result honestly, including uncertainty and the conditions of use.
• Review another team's work against a published rubric and give specific, actionable feedback.
• Declare and account for the use of AI assistance.</t>
        </is>
      </c>
      <c r="J17" s="47" t="inlineStr">
        <is>
          <t>• 0:00-0:10  Where we got to.
• 0:10-0:30  Concept: reproducibility as professional obligation. Repository anatomy (data / notebooks / src / README / requirements.txt), relative paths, seeds, and what a reviewer looks for first.
• 0:30-0:50  Demonstration: a messy exploratory notebook is refactored live into a clean repository with a README. The messy version is the students' own typical output, used with permission.
• 0:50-1:00  BREAK.
• 1:00-2:35  STUDIO. Teams build. The lecturer runs timed clinic slots on a booked rotation (see preparation - this is the session that fails without a booking sheet). Teams not in a clinic slot work or peer-review.
• 2:35-2:50  PEER REVIEW ROUND. Each team reviews another team's repository against the project rubric and returns a written review naming two strengths and two specific fixes.
• 2:50-2:55  Practical Test 2 briefing: format, rules, offline mode, rubric restated.
• 2:55-3:00  WEEKLY QUIZ, the last of the twelve. Five questions; two revisit earlier weeks.
• LAST FIVE MINUTES — QUIZ 12 - reproducibility (integrative). Open the Form, project the QR, give it exactly five minutes, close it, and show the cohort's score distribution before they leave. Worth 1%, best 10 of 12 count, no resits. If the network is down, convert it to a 24-hour link and say so out loud.</t>
        </is>
      </c>
      <c r="K17" s="47" t="inlineStr">
        <is>
          <t>• Repository structure and naming conventions.
• README anatomy; the two-page engineering brief as a distinct genre from a notebook.
• requirements.txt and environment capture; relative paths; random seeds.
• Data documentation and licence attribution.
• Figure captions that state a finding rather than describe an axis.
• Honest reporting: uncertainty, limitations, conditions of use.
• AI-use declaration as a professional norm.
• Peer review as a skill in its own right.</t>
        </is>
      </c>
      <c r="L17" s="47" t="inlineStr">
        <is>
          <t>• Git: branches, merges, and a history that shows who did what.
• GitHub: README, repository structure, issues as a task list.
• requirements.txt / pip freeze.
• Notebook hygiene: restart-and-run-all as the acceptance test.
• Streamlit: a three-minute teaser only, framed as a Semester 2 destination for turning a model into something a colleague can use.</t>
        </is>
      </c>
      <c r="M17" s="47" t="inlineStr">
        <is>
          <t>Studio build plus the peer review round. Deliverable: a repository that passes restart-and-run-all, a complete README, requirements.txt, a contribution log, and a received peer review with a written response to it.</t>
        </is>
      </c>
      <c r="N17" s="47" t="inlineStr">
        <is>
          <t>The team's own project dataset.</t>
        </is>
      </c>
      <c r="O17" s="47" t="inlineStr">
        <is>
          <t>The peer review itself. Teams discover that reviewing is harder than building, and they find their own defects in someone else's repository.</t>
        </is>
      </c>
      <c r="P17" s="47" t="inlineStr">
        <is>
          <t>No new assignment - project work only, deliberately, so the week before the test carries no extra load.</t>
        </is>
      </c>
      <c r="Q17" s="47" t="inlineStr">
        <is>
          <t>QUIZ 12 - reproducibility (integrative)
A notebook that will not run on another machine, a hard-coded path, and a seed that was never set. TWO of the five are drawn from earlier banks. Run it before the peer review round so it does not compete with studio time.</t>
        </is>
      </c>
      <c r="R17" s="47" t="inlineStr">
        <is>
          <t>PROJECT MILESTONE 4: repository freeze candidate, restart-and-run-all passing, peer review received and responded to.</t>
        </is>
      </c>
      <c r="S17" s="47" t="inlineStr">
        <is>
          <t>PM4 feeds the Reproducibility and documentation (5%) and Communication (10%) criteria of the project rubric, and the whole session prepares the Week 15 demo. Practical Test 2 is briefed here.</t>
        </is>
      </c>
      <c r="T17" s="47" t="inlineStr">
        <is>
          <t>• BUILD THE CLINIC BOOKING SHEET. With ~22 teams in Cohort A, 95 minutes allows roughly 4 minutes per team, or 8 minutes for half of them with the other half seen in office hours. Decide and publish this before the session, and use a printed checklist so each slot is diagnostic rather than conversational.
• Prepare the messy-to-clean refactor demonstration using a real (anonymised, permitted) student notebook.
• Prepare the peer review form, keyed to the project rubric, and the review pairing.
• Prepare the repository checklist that teams self-assess against before booking a clinic slot.
• Finalise Practical Test 2: variants, offline bundle, capacity plan, invigilation.</t>
        </is>
      </c>
      <c r="U17" s="47" t="inlineStr">
        <is>
          <t>• Computers; movable seating; printed clinic booking sheet and repository checklist.
• Printed peer review forms.
• Two assistants or floor helpers if the cohort exceeds 60 students.
• Practical Test 2 information sheet.</t>
        </is>
      </c>
      <c r="V17" s="47" t="inlineStr">
        <is>
          <t>FULLY SHARED. Reproducibility, README standards and peer review are identical across all three cohorts. Prepare once.</t>
        </is>
      </c>
    </row>
    <row r="18" ht="219.75" customHeight="1" s="36">
      <c r="A18" s="53" t="n">
        <v>14</v>
      </c>
      <c r="B18" s="54" t="inlineStr">
        <is>
          <t>ASSESSMENT WEEK 2</t>
        </is>
      </c>
      <c r="C18" s="54" t="inlineStr">
        <is>
          <t>Mon 07 Dec 2026</t>
        </is>
      </c>
      <c r="D18" s="54" t="inlineStr">
        <is>
          <t>Tue 08 Dec 2026
11:00-14:00 · Room 106</t>
        </is>
      </c>
      <c r="E18" s="54" t="inlineStr">
        <is>
          <t>Cohort A</t>
        </is>
      </c>
      <c r="F18" s="54" t="inlineStr">
        <is>
          <t>CML3112</t>
        </is>
      </c>
      <c r="G18" s="54" t="inlineStr">
        <is>
          <t>Introduction to Machine Learning in Design &amp; Infrastructure</t>
        </is>
      </c>
      <c r="H18" s="54" t="inlineStr">
        <is>
          <t>PRACTICAL TEST 2 - End-to-End Engineering Machine Learning (individual, offline)</t>
        </is>
      </c>
      <c r="I18" s="54" t="inlineStr">
        <is>
          <t>• Frame an unfamiliar engineering problem as a machine learning task, unaided.
• Prepare data and control leakage within a pipeline.
• Build and compare at least two models under a single valid protocol.
• Evaluate with a justified metric and report the result in engineering terms.
• State the model's limitations and the conditions under which it should not be used.
• Explain their own reasoning in writing without any tool.</t>
        </is>
      </c>
      <c r="J18" s="54" t="inlineStr">
        <is>
          <t>• 0:00-0:15  Seating, machine allocation, variant distribution, rules read aloud, offline mode confirmed.
• 0:15-2:15  TEST, PART A (practical, 2 hours). Individual, unfamiliar dataset from the cohort's domain. Tasks: state the ML task and name the target; prepare the data with justified decisions; build at least two models inside a leak-proof pipeline; evaluate with a justified metric and validate properly; report the result in physical or operational units; state three limitations.
• 2:15-2:40  TEST, PART B (written reasoning, 25 minutes, typed offline responses only; no code execution). Why this metric. Where could this pipeline leak. What would change your recommendation. Would you deploy this, and what would you require first.
• 2:40-3:00  Collection, structural check, dismissal. Week 15 demo running order confirmed.</t>
        </is>
      </c>
      <c r="K18" s="54" t="inlineStr">
        <is>
          <t>• No new concepts. Weeks 8-13 are examined: supervised learning, validation, leakage, features, model comparison and engineering interpretation.</t>
        </is>
      </c>
      <c r="L18" s="54" t="inlineStr">
        <is>
          <t>• Permitted: Python, VS Code or Jupyter, pandas, NumPy, matplotlib, seaborn, scikit-learn, and the offline documentation bundle.
• Prohibited: internet, AI assistants, messaging. The room runs offline.
• The offline bundle must include the scikit-learn API documentation - the test examines judgement, not memory of parameter names.</t>
        </is>
      </c>
      <c r="M18" s="54" t="inlineStr">
        <is>
          <t>The test is the practical. Duration 2h00 practical + 0h25 written. Three parallel dataset variants in a checkerboard seating pattern.</t>
        </is>
      </c>
      <c r="N18" s="54" t="inlineStr">
        <is>
          <t>UNSEEN test datasets, three matched variants from the construction, structural or building performance domain. Must be genuinely unfamiliar and must support at least two model families.</t>
        </is>
      </c>
      <c r="O18" s="54" t="inlineStr">
        <is>
          <t>The whole assessment. An unfamiliar dataset, no prescribed method, and a rubric that awards more marks for reasoning and interpretation than for the score achieved.</t>
        </is>
      </c>
      <c r="P18" s="54" t="inlineStr">
        <is>
          <t>None. Final project preparation only.</t>
        </is>
      </c>
      <c r="Q18" s="54" t="inlineStr">
        <is>
          <t>—</t>
        </is>
      </c>
      <c r="R18" s="54" t="inlineStr">
        <is>
          <t>Engineering ML Project: final build week outside class. Repository and two-page brief due at the Week 15 session.</t>
        </is>
      </c>
      <c r="S18" s="54" t="inlineStr">
        <is>
          <t>PRACTICAL TEST 2 = 20% of the Semester 1 mark. Individual. Rubric: task framing 10, data preparation and leakage control 20, modelling protocol 20, evaluation and metric justification 20, engineering interpretation and limits 20, code clarity 10.</t>
        </is>
      </c>
      <c r="T18" s="54" t="inlineStr">
        <is>
          <t>• Author three parallel dataset variants of matched difficulty, each with a model answer and a mark scheme.
• Build and test the offline bundle, including scikit-learn documentation, on a machine with the network physically disconnected.
• Confirm the capacity plan. Cohort A will very likely need two sittings; this must be timetabled with the Faculty by Week 7 at the latest.
• Write the structural auto-check script (runs top to bottom, required sections present, no internet calls) to make large-cohort marking feasible.
• Agree the moderation sample and the double-marking plan with the Faculty.
• Prepare the Week 15 demo running order, two typed defence prompts and the digital submission check.</t>
        </is>
      </c>
      <c r="U18" s="54" t="inlineStr">
        <is>
          <t>• Invigilated offline lab; confirmed machine count; spare machines; power contingency.
• USB or local drop folder collection.
• Printed task sheets per variant; Part B answers typed into the notebook.
• Second invigilator for any sitting above 40 students.
• Rubric published in Week 11.</t>
        </is>
      </c>
      <c r="V18" s="54" t="inlineStr">
        <is>
          <t>DIVERGENT: the three dataset variants and their mark schemes. SHARED: format, rules, duration, rubric.</t>
        </is>
      </c>
    </row>
    <row r="19" ht="219.75" customHeight="1" s="36">
      <c r="A19" s="51" t="n">
        <v>15</v>
      </c>
      <c r="B19" s="52" t="inlineStr">
        <is>
          <t>Block 5 - Engineering Project</t>
        </is>
      </c>
      <c r="C19" s="52" t="inlineStr">
        <is>
          <t>Mon 14 Dec 2026</t>
        </is>
      </c>
      <c r="D19" s="52" t="inlineStr">
        <is>
          <t>Tue 15 Dec 2026
11:00-14:00 · Room 106</t>
        </is>
      </c>
      <c r="E19" s="52" t="inlineStr">
        <is>
          <t>Cohort A</t>
        </is>
      </c>
      <c r="F19" s="52" t="inlineStr">
        <is>
          <t>CML3112</t>
        </is>
      </c>
      <c r="G19" s="52" t="inlineStr">
        <is>
          <t>Introduction to Machine Learning in Design &amp; Infrastructure</t>
        </is>
      </c>
      <c r="H19" s="52" t="inlineStr">
        <is>
          <t>Engineering ML Demo Day, individual viva and reflection</t>
        </is>
      </c>
      <c r="I19" s="52" t="inlineStr">
        <is>
          <t>• Present a data-driven engineering solution to a mixed audience in six minutes.
• Answer challenging questions about method and limitations without defensiveness.
• Assess a peer's work against a rubric and justify the marks awarded.
• Account individually for their own contribution and for any AI assistance used.
• Reflect on their own progression from Week 1 and set two goals for Semester 2.</t>
        </is>
      </c>
      <c r="J19" s="52" t="inlineStr">
        <is>
          <t>• 0:00-0:10  Running order, rules, and the marking process explained.
• 0:10-2:20  DEMO FAIR, two rounds. Teams present at stations (laptop plus a one-page poster) while the lecturer and any invited guests offer formative feedback. Every team presents to at least four peers. All cohorts use the fair plus three selected plenary demos, each at most six minutes.
•    (inside the fair)  INDIVIDUAL DEFENCE. Every student submits typed answers to two repository-specific questions with their reflection. Local rubric assessment uses this evidence. Live questioning samples understanding for formative feedback; it cannot cover every student in a large cohort.
• 2:20-2:40  PLENARY: three demos of at most six minutes each, then two minutes for recognition (Best Engineering Reasoning, Best Investigation, Most Honest Limitations).
• 2:40-2:55  Feedback synthesis: what the cohort achieved, measured against the Week 1 promise. Semester 2 preview.
• 2:55-3:00  Individual reflection submitted.</t>
        </is>
      </c>
      <c r="K19" s="52" t="inlineStr">
        <is>
          <t>• Technical communication to a mixed audience.
• Defending a method; conceding a valid criticism as a professional strength.
• Peer assessment against a rubric.
• Individual accountability within team work.
• Reflective practice and self-directed goal setting.
• The graduate claim restated: 'give me an engineering problem involving data and I know how to start investigating it.'</t>
        </is>
      </c>
      <c r="L19" s="52" t="inlineStr">
        <is>
          <t>• Whatever the project required - the tool list is now the students' choice, which is itself the outcome being demonstrated.
• Optional and encouraged: a Streamlit interface, for teams who went beyond the brief.
• Include the repository URL with the actual required project files in the digital submission packet.</t>
        </is>
      </c>
      <c r="M19" s="52" t="inlineStr">
        <is>
          <t>Upload the project packet by the start: repository URL, required project files, two-page engineering brief, one-page poster, AI-use declaration and contribution log. Upload the complete individual DEMO packet, including two typed defence answers and the 500-word reflection, by the end. Live questions and peer feedback are formative.</t>
        </is>
      </c>
      <c r="N19" s="52" t="inlineStr">
        <is>
          <t>Team-selected. Example project titles for this cohort: Building Energy Predictor; Concrete Strength Estimator with a stated confidence range; Pavement Deterioration Forecast; Construction Cost Estimator; Infrastructure Defect Classifier; Design Option Screener.</t>
        </is>
      </c>
      <c r="O19" s="52" t="inlineStr">
        <is>
          <t>Two individual typed answers about their own repository, submitted with the reflection. Live questions are formative.</t>
        </is>
      </c>
      <c r="P19" s="52" t="inlineStr">
        <is>
          <t>None. Semester 2 pre-reading and an optional holiday challenge are issued for students who want to keep going.</t>
        </is>
      </c>
      <c r="Q19" s="52" t="inlineStr">
        <is>
          <t>—</t>
        </is>
      </c>
      <c r="R19" s="52" t="inlineStr">
        <is>
          <t>ENGINEERING ML PROJECT FINAL SUBMISSION (25%). Demo, viva and reflection (10%).</t>
        </is>
      </c>
      <c r="S19" s="52" t="inlineStr">
        <is>
          <t>Engineering ML Project 25% - rubric: problem definition 15, data understanding 15, methodology 20, engineering reasoning 20, validation 15, communication 10, reproducibility and documentation 5. Demo, typed defence and individual reflection 10%. Peer feedback and live questions are formative; they do not alter assessment marks.</t>
        </is>
      </c>
      <c r="T19" s="52" t="inlineStr">
        <is>
          <t>• Invite Faculty staff and, if possible, one external practising engineer as assessors - it raises the standard of every submission more than any amount of exhortation.
• Prepare two repository-specific written defence prompts and the individual submission form.
• Prepare the peer assessment form and brief students on it in Week 13.
• Book a room configuration that supports a fair: tables around the perimeter, power for every station.
• Prepare the Week 1 promise slide for the closing comparison, and the Semester 2 preview.
• Prepare the reflection prompt and the recognition certificates.</t>
        </is>
      </c>
      <c r="U19" s="52" t="inlineStr">
        <is>
          <t>• Fair-capable room with power at the perimeter; poster stands or tape.
• Invited assessors and printed assessor packs with the rubric.
• Individual written defence submission form and formative peer feedback forms.
• Certificates for the three recognitions.
• Camera to record demos for the programme's own portfolio, with student consent.</t>
        </is>
      </c>
      <c r="V19" s="52" t="inlineStr">
        <is>
          <t>DIVERGENT: project titles and invited assessors (invite a structural or building services engineer). SHARED: demo format, viva bank structure, rubric.</t>
        </is>
      </c>
    </row>
  </sheetData>
  <autoFilter ref="A4:V19"/>
  <mergeCells count="2">
    <mergeCell ref="A1:T1"/>
    <mergeCell ref="A2:T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BF8F00"/>
    <outlinePr summaryBelow="1" summaryRight="1"/>
    <pageSetUpPr fitToPage="0"/>
  </sheetPr>
  <dimension ref="A1:V19"/>
  <sheetViews>
    <sheetView showFormulas="0" showGridLines="1" showRowColHeaders="1" showZeros="1" rightToLeft="0" tabSelected="0" showOutlineSymbols="1" defaultGridColor="1"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35" min="1" max="1"/>
    <col width="28" customWidth="1" style="35" min="2" max="2"/>
    <col width="18" customWidth="1" style="35" min="3" max="3"/>
    <col width="27" customWidth="1" style="35" min="4" max="4"/>
    <col width="9" customWidth="1" style="35" min="5" max="5"/>
    <col width="12" customWidth="1" style="35" min="6" max="6"/>
    <col width="40" customWidth="1" style="35" min="7" max="7"/>
    <col width="34" customWidth="1" style="35" min="8" max="8"/>
    <col width="62" customWidth="1" style="35" min="9" max="9"/>
    <col width="78" customWidth="1" style="35" min="10" max="10"/>
    <col width="56" customWidth="1" style="35" min="11" max="11"/>
    <col width="50" customWidth="1" style="35" min="12" max="12"/>
    <col width="60" customWidth="1" style="35" min="13" max="14"/>
    <col width="56" customWidth="1" style="35" min="15" max="15"/>
    <col width="44" customWidth="1" style="35" min="16" max="16"/>
    <col width="54" customWidth="1" style="35" min="17" max="17"/>
    <col width="40" customWidth="1" style="35" min="18" max="18"/>
    <col width="46" customWidth="1" style="35" min="19" max="19"/>
    <col width="70" customWidth="1" style="35" min="20" max="20"/>
    <col width="52" customWidth="1" style="35" min="21" max="21"/>
    <col width="46" customWidth="1" style="35" min="22" max="22"/>
  </cols>
  <sheetData>
    <row r="1" ht="25.5" customHeight="1" s="36">
      <c r="A1" s="37" t="inlineStr">
        <is>
          <t>Cohort B — Introduction to Machine Learning in Mining &amp; Petroleum Engineering</t>
        </is>
      </c>
    </row>
    <row r="2" ht="18" customHeight="1" s="36">
      <c r="A2" s="38" t="inlineStr">
        <is>
          <t>Petroleum Engineering + Mining Engineering · ~40-50 students (est. 10 project teams of 4-5) · one 3-hour session per week · 45 contact hours · FRIDAY 08:00-11:00, Room 105</t>
        </is>
      </c>
    </row>
    <row r="4" ht="43.5" customHeight="1" s="36">
      <c r="A4" s="42" t="inlineStr">
        <is>
          <t>Week</t>
        </is>
      </c>
      <c r="B4" s="42" t="inlineStr">
        <is>
          <t>Block / Phase</t>
        </is>
      </c>
      <c r="C4" s="42" t="inlineStr">
        <is>
          <t>Week commencing</t>
        </is>
      </c>
      <c r="D4" s="42" t="inlineStr">
        <is>
          <t>Session date · time · room</t>
        </is>
      </c>
      <c r="E4" s="42" t="inlineStr">
        <is>
          <t>Cohort</t>
        </is>
      </c>
      <c r="F4" s="42" t="inlineStr">
        <is>
          <t>Course code</t>
        </is>
      </c>
      <c r="G4" s="42" t="inlineStr">
        <is>
          <t>Course title</t>
        </is>
      </c>
      <c r="H4" s="42" t="inlineStr">
        <is>
          <t>Topic</t>
        </is>
      </c>
      <c r="I4" s="42" t="inlineStr">
        <is>
          <t>Learning objectives (by the end of the session, students can…)</t>
        </is>
      </c>
      <c r="J4" s="42" t="inlineStr">
        <is>
          <t>3-hour session structure</t>
        </is>
      </c>
      <c r="K4" s="42" t="inlineStr">
        <is>
          <t>Concepts introduced</t>
        </is>
      </c>
      <c r="L4" s="42" t="inlineStr">
        <is>
          <t>Tools introduced</t>
        </is>
      </c>
      <c r="M4" s="42" t="inlineStr">
        <is>
          <t>Practical / lab</t>
        </is>
      </c>
      <c r="N4" s="42" t="inlineStr">
        <is>
          <t>Dataset(s)</t>
        </is>
      </c>
      <c r="O4" s="42" t="inlineStr">
        <is>
          <t>Interactive challenge</t>
        </is>
      </c>
      <c r="P4" s="42" t="inlineStr">
        <is>
          <t>Assignment (due next session)</t>
        </is>
      </c>
      <c r="Q4" s="42" t="inlineStr">
        <is>
          <t>Weekly quiz (QR, auto-graded)</t>
        </is>
      </c>
      <c r="R4" s="42" t="inlineStr">
        <is>
          <t>Project milestone</t>
        </is>
      </c>
      <c r="S4" s="42" t="inlineStr">
        <is>
          <t>Assessment relevance</t>
        </is>
      </c>
      <c r="T4" s="42" t="inlineStr">
        <is>
          <t>Lecturer preparation</t>
        </is>
      </c>
      <c r="U4" s="42" t="inlineStr">
        <is>
          <t>Required resources</t>
        </is>
      </c>
      <c r="V4" s="42" t="inlineStr">
        <is>
          <t>Shared vs cohort-specific</t>
        </is>
      </c>
    </row>
    <row r="5" ht="219.75" customHeight="1" s="36">
      <c r="A5" s="46" t="n">
        <v>1</v>
      </c>
      <c r="B5" s="47" t="inlineStr">
        <is>
          <t>Block 1 - Orientation &amp; Computational Thinking</t>
        </is>
      </c>
      <c r="C5" s="47" t="inlineStr">
        <is>
          <t>Mon 07 Sep 2026</t>
        </is>
      </c>
      <c r="D5" s="47" t="inlineStr">
        <is>
          <t>Fri 11 Sep 2026
08:00-11:00 · Room 105</t>
        </is>
      </c>
      <c r="E5" s="47" t="inlineStr">
        <is>
          <t>Cohort B</t>
        </is>
      </c>
      <c r="F5" s="47" t="inlineStr">
        <is>
          <t>CML3113</t>
        </is>
      </c>
      <c r="G5" s="47" t="inlineStr">
        <is>
          <t>Introduction to Machine Learning in Mining &amp; Petroleum Engineering</t>
        </is>
      </c>
      <c r="H5" s="47" t="inlineStr">
        <is>
          <t>The engineering problem that needs data</t>
        </is>
      </c>
      <c r="I5" s="47" t="inlineStr">
        <is>
          <t>• Distinguish artificial intelligence, machine learning and data science, and place each in an engineering workflow.
• Contrast rule-based programming (we write the rule) with machine learning (we supply examples and the rule is inferred).
• State three problems in their own discipline that are plausibly ML-tractable, and two that are not, with reasons.
• Classify a problem informally as prediction of a quantity or prediction of a category.
• Explain how the course is assessed and what a finished project looks like.</t>
        </is>
      </c>
      <c r="J5" s="47" t="inlineStr">
        <is>
          <t>• 0:00-0:25  Course contract: the year's arc, the assessment model, the AI-use policy, the promise ('by December you can investigate an engineering dataset unaided').
• 0:25-1:05  Concept, no code: a real engineering question is posed; students attempt it by hand from a 12-row printed data extract; the class discovers it is guessing a pattern from examples. Rules vs learning is named only after they have done it.
• 1:05-1:25  Show the destination: a walkthrough of a completed student-level project (notebook, charts, model, 2-page brief) so the target is concrete from day one.
• 1:25-2:25  CHALLENGE - Problem Hunt. Teams of 4-5 are formed here and stay for the semester. Each team lists 6 problems from their discipline, then sorts them into quantity / category / not-an-ML-problem and must justify every placement.
• 2:25-2:50  Gallery walk. Teams critique two other teams' boards; the lecturer harvests the best problems into a live class list used later for project selection.
• 2:50-3:00  Environment homework issued, team charters signed, class channel joined.
• LAST FIVE MINUTES — QUIZ 1 - what machine learning is. Open the Form, project the QR, give it exactly five minutes, close it, and show the cohort's score distribution before they leave. Worth 1%, best 10 of 12 count, no resits. If the network is down, convert it to a 24-hour link and say so out loud.</t>
        </is>
      </c>
      <c r="K5" s="47" t="inlineStr">
        <is>
          <t>• Data, row, column, feature, target/label.
• Pattern vs rule; interpolation vs extrapolation.
• Prediction vs explanation - and why an engineer usually needs both.
• Regression vs classification (informal, by example only).
• The four honest limits of ML: no data, no signal, physics is better, and the future is not like the past.</t>
        </is>
      </c>
      <c r="L5" s="47" t="inlineStr">
        <is>
          <t>• No installation yet - accounts only, so nobody is blocked by a laptop.
• GitHub account (username convention published).
• Kaggle account.
• Class channel (Teams / WhatsApp) and the shared course drive.
• Framing device used all semester: for every tool we ask 'what problem does this tool solve?'</t>
        </is>
      </c>
      <c r="M5" s="47" t="inlineStr">
        <is>
          <t>Paper-based prediction exercise. Teams receive a 12-row printed extract of the cohort's anchor dataset with the 13th row's target hidden. They predict it, write down the reasoning, then compare with the true value and quantify their own error. This produces the words 'feature', 'target' and 'error' from the students rather than from the lecturer.
COHORT B FRAMING: Framing question for the mining stream: 'The silica assay takes an hour to come back from the laboratory. Can we know it now, from the process variables we already measure?' Framing question for the petroleum stream: 'Can we predict lithology or production from logs we already have, without drilling again?'</t>
        </is>
      </c>
      <c r="N5" s="47" t="inlineStr">
        <is>
          <t>Printed 12-row extract of the froth flotation process data (Kaggle, 'Quality Prediction in a Mining Process'): iron and silica feed grades, starch and amina flow, pulp pH and density, column air flow and level -&gt; percentage silica in the concentrate. Row 13's silica is withheld.</t>
        </is>
      </c>
      <c r="O5" s="47" t="inlineStr">
        <is>
          <t>Problem Hunt (see structure). Deliberately unguided: no template, no worked example. The lecturer only asks questions.</t>
        </is>
      </c>
      <c r="P5" s="47" t="inlineStr">
        <is>
          <t>A1 (one page): 'Three problems, one dataset' - three candidate ML problems from their discipline, the data each would need, and where that data might come from. PLUS the environment install checklist to be completed before Week 2.</t>
        </is>
      </c>
      <c r="Q5" s="47" t="inlineStr">
        <is>
          <t>QUIZ 1 - what machine learning is
Features and target read off a table, regression told from classification, and one of the four limits applied to a stated situation. This one runs on phones at the end of a paper session, which also gets every student through the QR mechanism once in week one.</t>
        </is>
      </c>
      <c r="R5" s="47" t="inlineStr">
        <is>
          <t>Project teams formed and registered. Team charter signed (roles, contact, meeting slot, conflict rule).</t>
        </is>
      </c>
      <c r="S5" s="47" t="inlineStr">
        <is>
          <t>A1 contributes to Practical Challenges &amp; Assignments (10%). Marked pass / redo - the point is engagement, not polish.</t>
        </is>
      </c>
      <c r="T5" s="47" t="inlineStr">
        <is>
          <t>• Print the 12-row dataset extracts (one per team) and the Problem Hunt board sheets.
• Build and rehearse the demonstration project that will be shown at 1:05.
• Create the GitHub organisation / GitHub Classroom and publish the username convention.
• Prepare the install guide PDF and the BYOD/laptop-access survey.
• Pre-allocate teams from the class roster to avoid 25 minutes of milling.
• COHORT B: Problem Hunt prompt cards for exploration, ore and mineral classification, reservoir characterisation, production, drilling, equipment health, safety and operational optimisation.</t>
        </is>
      </c>
      <c r="U5" s="47" t="inlineStr">
        <is>
          <t>• Projector, whiteboard, marker pens, flipchart or A3 sheets.
• Printed dataset extracts, printed install guide, printed course outline.
• Laptop-access survey (paper, for 100% return).
• No student computers required this week - by design.</t>
        </is>
      </c>
      <c r="V5" s="47" t="inlineStr">
        <is>
          <t>DIVERGENT: anchor dataset, framing questions, Problem Hunt prompts. SHARED: everything else.</t>
        </is>
      </c>
    </row>
    <row r="6" ht="219.75" customHeight="1" s="36">
      <c r="A6" s="48" t="n">
        <v>2</v>
      </c>
      <c r="B6" s="49" t="inlineStr">
        <is>
          <t>Block 1 - Orientation &amp; Computational Thinking</t>
        </is>
      </c>
      <c r="C6" s="49" t="inlineStr">
        <is>
          <t>Mon 14 Sep 2026</t>
        </is>
      </c>
      <c r="D6" s="49" t="inlineStr">
        <is>
          <t>Fri 18 Sep 2026
08:00-11:00 · Room 105</t>
        </is>
      </c>
      <c r="E6" s="49" t="inlineStr">
        <is>
          <t>Cohort B</t>
        </is>
      </c>
      <c r="F6" s="49" t="inlineStr">
        <is>
          <t>CML3113</t>
        </is>
      </c>
      <c r="G6" s="49" t="inlineStr">
        <is>
          <t>Introduction to Machine Learning in Mining &amp; Petroleum Engineering</t>
        </is>
      </c>
      <c r="H6" s="49" t="inlineStr">
        <is>
          <t>Colab notebooks and version control</t>
        </is>
      </c>
      <c r="I6" s="49" t="inlineStr">
        <is>
          <t>• Open and run a notebook in Colab.
• Explain cells, kernel state and Restart and Run All.
• Read error messages and repair four simple failures.
• Create a GitHub repository and save a notebook with a useful commit message.</t>
        </is>
      </c>
      <c r="J6" s="49" t="inlineStr">
        <is>
          <t>• 0:00-0:30 Recall and tool map.
• 0:30-1:40 Notebook practical and execution order.
• 1:40-1:50 Break.
• 1:50-2:40 Git explanation and repository practical.
• 2:40-2:50 Break and Fix in groups; finish repairs after class.
• 2:50-2:55 Five-question quiz.
• 2:55-3:00 A2 and exit check.
• LAST FIVE MINUTES — QUIZ 2 - notebooks and version control. Open the Form, project the QR, give it exactly five minutes, close it, and show the cohort's score distribution before they leave. Worth 1%, best 10 of 12 count, no resits. If the network is down, convert it to a 24-hour link and say so out loud.</t>
        </is>
      </c>
      <c r="K6" s="49" t="inlineStr">
        <is>
          <t>• Cell, kernel, hidden state and reproducibility.
• Working directory and relative path.
• Repository, staging, commit, push and README.</t>
        </is>
      </c>
      <c r="L6" s="49" t="inlineStr">
        <is>
          <t>• Google Colab is the primary route.
• GitHub stores the work and its history.
• Pre-provisioned Jupyter lab machines are the connection fallback.</t>
        </is>
      </c>
      <c r="M6" s="49" t="inlineStr">
        <is>
          <t>Use setup/&lt;cohort&gt;/proof_of_life.ipynb and its four-row CSV. Run, predict repeated execution, restart and run all, then save to GitHub.</t>
        </is>
      </c>
      <c r="N6" s="49" t="inlineStr">
        <is>
          <t>None. A single small CSV is opened only to prove the environment works.</t>
        </is>
      </c>
      <c r="O6" s="49" t="inlineStr">
        <is>
          <t>Repair the four supplied notebooks: unavailable import, wrong Python-version expectation, wrong path and hidden state. Explain each cause in one sentence.</t>
        </is>
      </c>
      <c r="P6" s="49" t="inlineStr">
        <is>
          <t>A2 Proof of Life: submit the repository URL and named notebook through the assignment form. Upload the README; keep the CSV in your repository. See setup/A2_assignment_brief.md. Due at the start of Week 3.</t>
        </is>
      </c>
      <c r="Q6" s="49" t="inlineStr">
        <is>
          <t>QUIZ 2 - notebooks and version control
Out-of-order execution diagnosed from a cell-numbering trace, what Restart and Run All proves, and reading one git status output. A2 separately checks readiness for Week 3.</t>
        </is>
      </c>
      <c r="R6" s="49" t="inlineStr">
        <is>
          <t>Each student has a working notebook and repository. Team collaboration continues from Week 1.</t>
        </is>
      </c>
      <c r="S6" s="49" t="inlineStr">
        <is>
          <t>A2 is one of eleven challenges, best eight contributing 10%. The Week 2 quiz is one of twelve quizzes, best ten contributing 10%.</t>
        </is>
      </c>
      <c r="T6" s="49" t="inlineStr">
        <is>
          <t>• Rehearse Colab sign-in and the lab fallback with a student account.
• Distribute the small cohort ZIP from setup/ before class.
• Run setup/check_setup.py on lab machines.
• Check the Week 2 form and displayed deadline. Brief floor helpers.</t>
        </is>
      </c>
      <c r="U6" s="49" t="inlineStr">
        <is>
          <t>• Laptop or provisioned lab computer, charger, cohort ZIP and a printed copy of setup/README.md.
• USB/local-share copy for connection outages.</t>
        </is>
      </c>
      <c r="V6" s="49" t="inlineStr">
        <is>
          <t>Largely shared — check the Shared vs Divergent sheet.</t>
        </is>
      </c>
    </row>
    <row r="7" ht="219.75" customHeight="1" s="36">
      <c r="A7" s="46" t="n">
        <v>3</v>
      </c>
      <c r="B7" s="47" t="inlineStr">
        <is>
          <t>Block 1 - Orientation &amp; Computational Thinking</t>
        </is>
      </c>
      <c r="C7" s="47" t="inlineStr">
        <is>
          <t>Mon 21 Sep 2026</t>
        </is>
      </c>
      <c r="D7" s="47" t="inlineStr">
        <is>
          <t>Fri 25 Sep 2026
08:00-11:00 · Room 105</t>
        </is>
      </c>
      <c r="E7" s="47" t="inlineStr">
        <is>
          <t>Cohort B</t>
        </is>
      </c>
      <c r="F7" s="47" t="inlineStr">
        <is>
          <t>CML3113</t>
        </is>
      </c>
      <c r="G7" s="47" t="inlineStr">
        <is>
          <t>Introduction to Machine Learning in Mining &amp; Petroleum Engineering</t>
        </is>
      </c>
      <c r="H7" s="47" t="inlineStr">
        <is>
          <t>Python as an engineering calculator</t>
        </is>
      </c>
      <c r="I7" s="47" t="inlineStr">
        <is>
          <t>• Use variables, numeric and string types, and operators correctly, including integer vs float division.
• Write conditional logic that implements an engineering decision rule.
• Define and call a function with parameters, a return value and a docstring.
• Convert a formula from their own discipline into a tested function.
• Read a Python traceback and locate the offending line.
• Check unit consistency and reject a numerically valid but physically wrong answer.</t>
        </is>
      </c>
      <c r="J7" s="47" t="inlineStr">
        <is>
          <t>• 0:00-0:30  Concept driven by a formula the students already know from their own programme. The formula is written on the board first; Python notation is introduced only as a way of writing it down.
• 0:30-0:55  Live coding: the same formula becomes a function with parameters, a return value, a docstring and two test values. The lecturer makes one deliberate unit error and lets the class catch it.
• 0:55-2:05  PRACTICAL - Discipline Function Library. Each student writes five functions from their own field, each with a docstring, stated units and two test values with expected answers.
• 2:05-2:40  CHALLENGE - Wrong Answer Hunt. Six functions are supplied that all run without error but return wrong answers: integer division, operator precedence, degrees vs radians, a mis-set if/elif boundary, a mutated input, and a unit mismatch. Teams must find, name and fix all six.
• 2:40-3:00  Debugger demonstration (breakpoint, step, inspect a variable) and assignment issued.
• LAST FIVE MINUTES — QUIZ 3 - Python as an engineering calculator. Open the Form, project the QR, give it exactly five minutes, close it, and show the cohort's score distribution before they leave. Worth 1%, best 10 of 12 count, no resits. If the network is down, convert it to a 24-hour link and say so out loud.</t>
        </is>
      </c>
      <c r="K7" s="47" t="inlineStr">
        <is>
          <t>• int, float, str, bool; casting; integer vs true division.
• Operator precedence; comparison and logical operators.
• if / elif / else as an encoded engineering decision rule.
• Function definition, parameters, arguments, return vs print, local scope.
• Docstrings and self-documenting code; units as part of the interface.
• Traceback anatomy; assertion as a cheap test.</t>
        </is>
      </c>
      <c r="L7" s="47" t="inlineStr">
        <is>
          <t>• Jupyter and VS Code (both, so the choice becomes a habit not a mystery).
• The VS Code debugger: breakpoint, step over, inspect variables.
• Git: a commit per working function, so history shows the build.
• AI assistant, first supervised use: students may ask it to EXPLAIN an error message, but not to write a function. The distinction is enforced and discussed.</t>
        </is>
      </c>
      <c r="M7" s="47" t="inlineStr">
        <is>
          <t>Discipline Function Library (see structure), committed to the team repository as functions.py plus a notebook that imports and demonstrates it. Core tier: 5 working functions. Stretch tier: add input validation that raises a clear error for physically impossible inputs.
COHORT B FRAMING: Formula set: ore tonnage from volume and bulk density; contained metal from grade and tonnage; mill recovery and dilution; a two-stream mass balance; rate of penetration from drilling parameters; volumetric original-oil-in-place; gas-oil ratio.</t>
        </is>
      </c>
      <c r="N7" s="47" t="inlineStr">
        <is>
          <t>No dataset - formula-driven.</t>
        </is>
      </c>
      <c r="O7" s="47" t="inlineStr">
        <is>
          <t>Wrong Answer Hunt - six silently wrong functions. Chosen because 'it ran, therefore it is right' is the single most dangerous belief a beginner can form, and it is fatal later in model evaluation.</t>
        </is>
      </c>
      <c r="P7" s="47" t="inlineStr">
        <is>
          <t>A3: complete the five tasks in practicals/W03/&lt;cohort&gt;/W03_student.ipynb. The broader function library is practice. Submit the named notebook through the assignment form.</t>
        </is>
      </c>
      <c r="Q7" s="47" t="inlineStr">
        <is>
          <t>QUIZ 3 - Python as an engineering calculator
A unit error that returns a plausible wrong number, a function that returns nothing because it prints instead, an if-chain whose branches are in the wrong order, and one traceback.</t>
        </is>
      </c>
      <c r="R7" s="47" t="inlineStr">
        <is>
          <t>Team repository has a working code file and a commit history with more than one contributor.</t>
        </is>
      </c>
      <c r="S7" s="47" t="inlineStr">
        <is>
          <t>A3 contributes to Practical Challenges &amp; Assignments (10%). Function-writing and traceback-reading are directly examined in Practical Test 1 (Week 7).</t>
        </is>
      </c>
      <c r="T7" s="47" t="inlineStr">
        <is>
          <t>• Write the cohort-specific formula set and confirm every formula against a textbook or standard - a wrong formula here destroys credibility.
• Author the six Wrong Answer Hunt functions and a marking key naming each bug.
• Prepare a worked solution to the function library at both core and stretch tiers.
• Prepare the debugger demonstration and rehearse it - a fumbled debugger demo teaches students to avoid the debugger.</t>
        </is>
      </c>
      <c r="U7" s="47" t="inlineStr">
        <is>
          <t>• Computers, projector, printed formula sheet for the cohort.
• Printed Python syntax cheat sheet (one page, both sides).
• Wrong Answer Hunt notebook distributed offline via USB or the network share.</t>
        </is>
      </c>
      <c r="V7" s="47" t="inlineStr">
        <is>
          <t>DIVERGENT: the six formulas and the Wrong Answer Hunt traps (grams per tonne vs percent, barrels vs cubic metres, wet vs dry tonnes). SHARED: all concepts and structure.</t>
        </is>
      </c>
    </row>
    <row r="8" ht="219.75" customHeight="1" s="36">
      <c r="A8" s="48" t="n">
        <v>4</v>
      </c>
      <c r="B8" s="49" t="inlineStr">
        <is>
          <t>Block 1 - Orientation &amp; Computational Thinking</t>
        </is>
      </c>
      <c r="C8" s="49" t="inlineStr">
        <is>
          <t>Mon 28 Sep 2026</t>
        </is>
      </c>
      <c r="D8" s="49" t="inlineStr">
        <is>
          <t>Fri 02 Oct 2026
08:00-11:00 · Room 105</t>
        </is>
      </c>
      <c r="E8" s="49" t="inlineStr">
        <is>
          <t>Cohort B</t>
        </is>
      </c>
      <c r="F8" s="49" t="inlineStr">
        <is>
          <t>CML3113</t>
        </is>
      </c>
      <c r="G8" s="49" t="inlineStr">
        <is>
          <t>Introduction to Machine Learning in Mining &amp; Petroleum Engineering</t>
        </is>
      </c>
      <c r="H8" s="49" t="inlineStr">
        <is>
          <t>Python for problem solving: collections, loops and files</t>
        </is>
      </c>
      <c r="I8" s="49" t="inlineStr">
        <is>
          <t>• Choose between a list and a dictionary for a given engineering record and justify the choice.
• Iterate over a collection with for and while, using the accumulator pattern.
• Read a CSV file and compute summary statistics without any data-science library.
• Catch and interpret exceptions, and fail informatively rather than silently.
• Decompose an open-ended data question into an ordered sequence of steps before writing code.
• Report a finding from data they were given no instructions about.</t>
        </is>
      </c>
      <c r="J8" s="49" t="inlineStr">
        <is>
          <t>• 0:00-0:25  Concept: loops as 'do this to every measurement'. The motivating problem is 4,000 sensor readings and a question that cannot be answered by hand.
• 0:25-0:50  Demonstration: open a real CSV with open() and the csv module; compute count, mean, min, max; count out-of-range values. Deliberately done the hard way - this is the pain that makes pandas welcome in Week 5.
• 0:50-2:00  PRACTICAL - Reading Report. Students build a script that ingests a data file and writes a plain-text summary: per-column count/mean/min/max, number of out-of-range values against a stated engineering limit, and the number of rows it had to skip because they were malformed.
• 2:00-2:40  INVESTIGATION LAB 1 - 'Find something interesting'. Teams receive an unfamiliar ~300-row file with no instructions, no column dictionary and no suggested method. The lecturer circulates and asks questions only.
• 2:40-3:00  Sixty-second findings pitch per team, then assignment issued.
• LAST FIVE MINUTES — QUIZ 4 - collections, loops and files. Open the Form, project the QR, give it exactly five minutes, close it, and show the cohort's score distribution before they leave. Worth 1%, best 10 of 12 count, no resits. If the network is down, convert it to a 24-hour link and say so out loud.</t>
        </is>
      </c>
      <c r="K8" s="49" t="inlineStr">
        <is>
          <t>• List, tuple, dictionary; indexing and slicing; nesting.
• for and while; the accumulator pattern; early exit.
• File I/O; delimiters; header rows; string-to-number conversion.
• try / except; exception types; failing loudly.
• Algorithmic decomposition: question -&gt; steps -&gt; code.
• The idea of a data dictionary, met by feeling its absence.</t>
        </is>
      </c>
      <c r="L8" s="49" t="inlineStr">
        <is>
          <t>• The csv module and open() - deliberately no pandas yet.
• The VS Code debugger on a loop, to watch an accumulator fill.
• Git: incremental commits during the build.</t>
        </is>
      </c>
      <c r="M8" s="49" t="inlineStr">
        <is>
          <t>Reading Report script (see structure). Core tier: handle a clean file. Stretch tier: survive a file containing blank lines, a stray text value in a numeric column and a duplicated header row - which is exactly what Week 6 formalises.</t>
        </is>
      </c>
      <c r="N8" s="49" t="inlineStr">
        <is>
          <t>COURSE-AUTHORED: 'drill_shift_log.csv' (~300 rows) - a fictional but realistic shift log with hole ID, depth, rate of penetration, bit type, operator, downtime minutes and a downtime reason code. Contains one genuine finding (one bit type or one shift pattern with systematically worse performance), two red herrings and realistic dirt.</t>
        </is>
      </c>
      <c r="O8" s="49" t="inlineStr">
        <is>
          <t>INVESTIGATION LAB 1 - the first fully unguided session. The lecturer's only permitted moves are the question bank: What are you trying to find? Why that column? What does that number mean physically? How would you know if you were wrong? Students must produce a claim and the evidence for it.</t>
        </is>
      </c>
      <c r="P8" s="49" t="inlineStr">
        <is>
          <t>A4: the Reading Report notebook with four automatically checked summaries. See practicals/W04/&lt;cohort&gt;/README.md. The 150-word interpretation is formative practice.</t>
        </is>
      </c>
      <c r="Q8" s="49" t="inlineStr">
        <is>
          <t>QUIZ 4 - collections, loops and files
An accumulator reset inside the loop, a range off-by-one, a value read from a file as a string, and a skipped-row count that was never reported.</t>
        </is>
      </c>
      <c r="R8" s="49" t="inlineStr">
        <is>
          <t>Each team submits a one-paragraph statement of the kind of engineering problem it wants to work on for the semester (not yet a dataset).</t>
        </is>
      </c>
      <c r="S8" s="49" t="inlineStr">
        <is>
          <t>A4 contributes to Practical Challenges &amp; Assignments (10%). Investigation Lab 1 is the direct rehearsal for Practical Test 1 in Week 7 and establishes the no-spoon-feeding norm.</t>
        </is>
      </c>
      <c r="T8" s="49" t="inlineStr">
        <is>
          <t>• AUTHOR the ~300-row Investigation Lab file: it must contain one genuine, findable, discipline-relevant story plus two red herrings and some realistic dirt. Build a lecturer key listing every finding a good team could reach.
• Prepare the question bank as a printed card to carry while circulating - it prevents the lecturer from accidentally giving answers.
• Prepare the malformed-file variant for the stretch tier.
• Brief floor helpers that they must ask questions, not fix code.</t>
        </is>
      </c>
      <c r="U8" s="49" t="inlineStr">
        <is>
          <t>• Computers, the Investigation Lab data file distributed offline.
• Printed question-bank cards.
• Timer visible to the room - the pitch round must not overrun.
• Flipchart for the findings pitches.</t>
        </is>
      </c>
      <c r="V8" s="49" t="inlineStr">
        <is>
          <t>DIVERGENT: the Investigation Lab file and its planted story. SHARED: all Python content.</t>
        </is>
      </c>
    </row>
    <row r="9" ht="219.75" customHeight="1" s="36">
      <c r="A9" s="51" t="n">
        <v>5</v>
      </c>
      <c r="B9" s="52" t="inlineStr">
        <is>
          <t>Block 2 - Engineering Data</t>
        </is>
      </c>
      <c r="C9" s="52" t="inlineStr">
        <is>
          <t>Mon 05 Oct 2026</t>
        </is>
      </c>
      <c r="D9" s="52" t="inlineStr">
        <is>
          <t>Fri 09 Oct 2026
08:00-11:00 · Room 105</t>
        </is>
      </c>
      <c r="E9" s="52" t="inlineStr">
        <is>
          <t>Cohort B</t>
        </is>
      </c>
      <c r="F9" s="52" t="inlineStr">
        <is>
          <t>CML3113</t>
        </is>
      </c>
      <c r="G9" s="52" t="inlineStr">
        <is>
          <t>Introduction to Machine Learning in Mining &amp; Petroleum Engineering</t>
        </is>
      </c>
      <c r="H9" s="52" t="inlineStr">
        <is>
          <t>NumPy and pandas: the engineer's data table, and where data comes from</t>
        </is>
      </c>
      <c r="I9" s="52" t="inlineStr">
        <is>
          <t>• Create arrays and perform vectorised arithmetic, and explain why it replaces an explicit loop.
• Load a CSV into a DataFrame and profile it with shape, dtypes, info, head and describe.
• Select rows and columns with .loc and .iloc and filter with boolean conditions.
• Group and aggregate to answer a comparison question.
• Create a derived column that encodes engineering knowledge.
• Find a dataset on Kaggle or the UCI repository, read its documentation, and state its provenance, licence and limitations before using it.</t>
        </is>
      </c>
      <c r="J9" s="52" t="inlineStr">
        <is>
          <t>• 0:00-0:25  Concept: the Week 4 Reading Report is rewritten in four lines of pandas, side by side with the 60-line version. The case for the tool is made by the tool.
• 0:25-0:55  Demonstration on the cohort anchor dataset: load, profile, select, filter, group, derive, save.
• 0:55-2:00  PRACTICAL - Twelve Questions. A guided interrogation of the anchor dataset: twelve real engineering questions, each answerable in one to four lines of pandas. Answers must be stated in physical units, not as raw output.
• 2:00-2:20  Where data comes from: Kaggle, UCI, government and open engineering repositories. How to read a dataset card; licence, provenance, collection method, and the question 'can this data actually answer my question?'
• 2:20-2:45  CHALLENGE - Ten Questions, No Help. Teams get an unfamiliar dataset and 25 minutes to answer ten questions. No lecturer assistance, no internet search of the answers.
• 2:45-3:00  DATA ANALYSIS PROJECT brief released (due Week 8).
• LAST FIVE MINUTES — QUIZ 5 - pandas and judging a dataset. Open the Form, project the QR, give it exactly five minutes, close it, and show the cohort's score distribution before they leave. Worth 1%, best 10 of 12 count, no resits. If the network is down, convert it to a 24-hour link and say so out loud.</t>
        </is>
      </c>
      <c r="K9" s="52" t="inlineStr">
        <is>
          <t>• ndarray, vectorisation, elementwise operations, broadcasting (light).
• DataFrame, Series, index, dtype.
• .loc vs .iloc; boolean masking; chained conditions.
• groupby and aggregation; sorting; value_counts.
• Derived / engineered columns.
• Dataset provenance, licence, collection method, fitness for purpose.</t>
        </is>
      </c>
      <c r="L9" s="52" t="inlineStr">
        <is>
          <t>• NumPy.
• pandas.
• Kaggle (search, dataset cards, download, public notebooks as worked examples).
• UCI Machine Learning Repository and the ucimlrepo package.
• Jupyter as the primary surface from this week onward.</t>
        </is>
      </c>
      <c r="M9" s="52" t="inlineStr">
        <is>
          <t>Twelve Questions interrogation notebook on the anchor dataset (see structure). Core tier: answer all twelve. Stretch tier: add two questions of their own and answer them.
COHORT B FRAMING: The twelve questions include: how does silica in the concentrate vary with iron in the feed; which flotation columns show the widest air flow variation; does pulp pH band relate to concentrate quality; what is the distribution of starch flow; and for the well logs, how does gamma ray response differ between two named lithologies.</t>
        </is>
      </c>
      <c r="N9" s="52" t="inlineStr">
        <is>
          <t>ANCHOR: a 20,000-row teaching subset of 'Quality Prediction in a Mining Process' (Kaggle, edumagalhaes) - the full file is roughly 737,000 rows x 24 columns sampled every 20 seconds, which is too large for a first pandas session and must be subset in preparation. SECONDARY: FORCE 2020 well logs (GitHub bolgebrygg; labels CC BY 4.0, log data NLOD 2.0) reduced to three wells for the petroleum stream.</t>
        </is>
      </c>
      <c r="O9" s="52" t="inlineStr">
        <is>
          <t>Ten Questions, No Help - a timed, unassisted interrogation of an unfamiliar dataset. Directly calibrates students against the Week 7 test format.</t>
        </is>
      </c>
      <c r="P9" s="52" t="inlineStr">
        <is>
          <t>A5: complete the six automatically checked campus-energy tasks in practicals/W05/&lt;cohort&gt;/W05_student.ipynb. The Twelve Questions anchor-data investigation remains practice.</t>
        </is>
      </c>
      <c r="Q9" s="52" t="inlineStr">
        <is>
          <t>QUIZ 5 - pandas and judging a dataset
A mask confused with a filtered frame, a groupby result whose shape is misread, a dtype of 'object' on a numeric column, and one question on where a dataset came from.</t>
        </is>
      </c>
      <c r="R9" s="52" t="inlineStr">
        <is>
          <t>DATA ANALYSIS PROJECT launched. Each team selects a dataset from the approved list (or proposes one for approval), and registers the engineering question it will answer.</t>
        </is>
      </c>
      <c r="S9" s="52" t="inlineStr">
        <is>
          <t>A5 contributes to Practical Challenges &amp; Assignments (10%). The Data Analysis Project is 10% in its own right. pandas fluency is the core of Practical Test 1 (Week 7).</t>
        </is>
      </c>
      <c r="T9" s="52" t="inlineStr">
        <is>
          <t>• MITIGATION REQUIRED for the Friday cohorts: Fri 09 Oct 2026 is Uganda Independence Day. Publish this session as a recorded walkthrough plus the Twelve Questions notebook by Wed 07 Oct, hold a 45-minute online clinic, and open Week 6 with a 30-minute consolidation. Alternatively secure a Faculty-approved make-up slot.
• Prepare the side-by-side loops-vs-pandas comparison.
• Author the Twelve Questions with a marked-up solution and expected physical units.
• Assemble the approved dataset list for the Data Analysis Project, with every link verified in the week of use.
• Pre-download all datasets to the network share - do not rely on Kaggle being reachable in class.
• COHORT B: CRITICAL PREPARATION: subset the flotation dataset to about 20,000 rows and the well logs to three wells, and stage both offline. Handing 737,000 rows to a five-week-old programmer is a guaranteed failure.</t>
        </is>
      </c>
      <c r="U9" s="52" t="inlineStr">
        <is>
          <t>• Computers; datasets pre-staged offline; pandas cheat sheet (printed).
• Recording equipment / screen capture for the Friday-cohort mitigation package.
• Approved dataset list handout with licences stated.
• Data Analysis Project brief and rubric (published, not summarised verbally).</t>
        </is>
      </c>
      <c r="V9" s="52" t="inlineStr">
        <is>
          <t>DIVERGENT: anchor dataset and the twelve questions. SHARED: all pandas and NumPy content and the sourcing segment.</t>
        </is>
      </c>
    </row>
    <row r="10" ht="219.75" customHeight="1" s="36">
      <c r="A10" s="48" t="n">
        <v>6</v>
      </c>
      <c r="B10" s="49" t="inlineStr">
        <is>
          <t>Block 2 - Engineering Data</t>
        </is>
      </c>
      <c r="C10" s="49" t="inlineStr">
        <is>
          <t>Mon 12 Oct 2026</t>
        </is>
      </c>
      <c r="D10" s="49" t="inlineStr">
        <is>
          <t>Fri 16 Oct 2026
08:00-11:00 · Room 105</t>
        </is>
      </c>
      <c r="E10" s="49" t="inlineStr">
        <is>
          <t>Cohort B</t>
        </is>
      </c>
      <c r="F10" s="49" t="inlineStr">
        <is>
          <t>CML3113</t>
        </is>
      </c>
      <c r="G10" s="49" t="inlineStr">
        <is>
          <t>Introduction to Machine Learning in Mining &amp; Petroleum Engineering</t>
        </is>
      </c>
      <c r="H10" s="49" t="inlineStr">
        <is>
          <t>Dirty data, and seeing it: data quality through visualisation</t>
        </is>
      </c>
      <c r="I10" s="49" t="inlineStr">
        <is>
          <t>• Profile a dataset for missing values, duplicates, impossible values, wrong data types and outliers.
• Choose and justify a handling strategy for each defect, and state its effect on the conclusion.
• Produce histograms, box plots, scatter plots, line charts and a correlation heatmap, correctly labelled with units.
• Use a chart as an instrument of detection, not decoration - every chart answers a stated question.
• Distinguish a measurement error from a real and physically interesting extreme value.
• Write a short data quality statement for a dataset.</t>
        </is>
      </c>
      <c r="J10" s="49" t="inlineStr">
        <is>
          <t>• 0:00-0:15  Recall. Friday cohorts instead use 0:00-0:30 for Week 5 consolidation.
• 0:15-0:30  Why data defects matter (Friday 0:30-0:45).
• 0:30-0:55  Six defect classes and plausible causes (Friday 0:45-1:10).
• 0:55-1:20  Charts that find problems (Friday 1:10-1:20, using prepared examples).
• 1:20-1:30  Break, all cohorts.
• 1:30-2:05  PRACTICAL: Data Clinic. Find defects, apply a defensible handling strategy and justify each decision. Same 35 minutes for every cohort.
• 2:05-2:20  Frame the difference between measurement error and real behaviour.
• 2:20-2:40  Outlier Argument: discuss five flagged values, including two ambiguous cases.
• 2:40-3:00  Synthesis, Test 1 briefing, weekly assignment instructions and five-minute quiz.
• LAST FIVE MINUTES — QUIZ 6 - dirty data, and seeing it. Open the Form, project the QR, give it exactly five minutes, close it, and show the cohort's score distribution before they leave. Worth 1%, best 10 of 12 count, no resits. If the network is down, convert it to a 24-hour link and say so out loud.</t>
        </is>
      </c>
      <c r="K10" s="49" t="inlineStr">
        <is>
          <t>• Missingness: absent, zero-coded, sentinel-coded (-999), and missing-not-at-random.
• Deletion vs imputation (mean, median, forward-fill) and what each assumes.
• Duplicates: exact and near.
• Impossible values and physical range checks.
• Outliers: IQR and z-score screening, and their limits.
• dtype repair; dates and categories.
• Chart grammar: axis labels, units, titles as questions, no chartjunk.
• Correlation, its coefficient, and the reasons it misleads.</t>
        </is>
      </c>
      <c r="L10" s="49" t="inlineStr">
        <is>
          <t>• matplotlib (figure, axes, labels, saving).
• seaborn (histplot, boxplot, scatterplot, heatmap, pairplot).
• pandas: isna, duplicated, clip, astype, fillna, dropna, describe.
• AI assistant, supervised use 2: students may ask for three alternative approaches to a cleaning problem with trade-offs - and must then choose and defend one themselves.</t>
        </is>
      </c>
      <c r="M10" s="49" t="inlineStr">
        <is>
          <t>Data Clinic on a damaged dataset (see structure). Deliverable: a cleaning notebook, a defect register table, and a five-line data quality statement. Core tier: find and fix the six planted defects. Stretch tier: quantify how much the headline conclusion changes under two different cleaning strategies.
COHORT B FRAMING: Outlier Argument cases from mining and petroleum reality: an assay of 45 grams per tonne gold, a negative flow rate, a pulp pH of 14, a production spike immediately after a shutdown, and a bottom-hole pressure reading of zero.</t>
        </is>
      </c>
      <c r="N10" s="49" t="inlineStr">
        <is>
          <t>COURSE-AUTHORED damaged variant of the flotation subset, plus a fictional 'assay_register.csv' with sentinel-coded missing assays (-999), duplicated laboratory entries, grades entered in the wrong unit, and two genuinely arguable extremes (a real high-grade intersection and a suspected contaminated sample).</t>
        </is>
      </c>
      <c r="O10" s="49" t="inlineStr">
        <is>
          <t>The Outlier Argument - forces a judgement call with no lookup answer, and rewards domain reasoning over technique.</t>
        </is>
      </c>
      <c r="P10" s="49" t="inlineStr">
        <is>
          <t>A6 / W06: use the issued cohort notebook and TASKS.md in assessment_banks/W06. Complete the cleaning, summary and audit interfaces plus the designated written-evidence cell. The broader Data Clinic and project work are practice and project development.</t>
        </is>
      </c>
      <c r="Q10" s="49" t="inlineStr">
        <is>
          <t>QUIZ 6 - dirty data, and seeing it
A zero-coded missing value, a chart that does not answer the stated question, and an extreme value that has to be judged as an error or a real measurement.</t>
        </is>
      </c>
      <c r="R10" s="49" t="inlineStr">
        <is>
          <t>Data Analysis Project: cleaned dataset and at least four question-driven charts committed to the repository.</t>
        </is>
      </c>
      <c r="S10" s="49" t="inlineStr">
        <is>
          <t>A6 contributes to Practical Challenges &amp; Assignments (10%). Cleaning judgement and chart quality are 40% of the Practical Test 1 rubric.</t>
        </is>
      </c>
      <c r="T10" s="49" t="inlineStr">
        <is>
          <t>• AUTHOR the damaged dataset: six planted defects, documented in a lecturer key, plus two ambiguous extremes with no clean answer.
• Select the five values for The Outlier Argument so that two are genuinely arguable, and prepare the domain reasoning for each.
• Prepare 'good chart / bad chart' pairs from the cohort's own domain for the chart grammar section.
• For the Friday cohorts, open with the 30-minute Week 5 consolidation - budget it in and cut the demonstration accordingly.
• Publish the Practical Test 1 format and rubric this week. Students must never meet a rubric for the first time in the test.</t>
        </is>
      </c>
      <c r="U10" s="49" t="inlineStr">
        <is>
          <t>• Computers; the damaged dataset offline; seaborn/matplotlib cheat sheet.
• Printed defect register template.
• Practical Test 1 information sheet and rubric for distribution.
• Colour printing or a good projector for the chart-quality comparison.</t>
        </is>
      </c>
      <c r="V10" s="49" t="inlineStr">
        <is>
          <t>DIVERGENT: the damaged dataset and the five outlier cases. SHARED: all cleaning and visualisation content.</t>
        </is>
      </c>
    </row>
    <row r="11" ht="219.75" customHeight="1" s="36">
      <c r="A11" s="53" t="n">
        <v>7</v>
      </c>
      <c r="B11" s="54" t="inlineStr">
        <is>
          <t>ASSESSMENT WEEK 1</t>
        </is>
      </c>
      <c r="C11" s="54" t="inlineStr">
        <is>
          <t>Mon 19 Oct 2026</t>
        </is>
      </c>
      <c r="D11" s="54" t="inlineStr">
        <is>
          <t>Fri 23 Oct 2026
08:00-11:00 · Room 105</t>
        </is>
      </c>
      <c r="E11" s="54" t="inlineStr">
        <is>
          <t>Cohort B</t>
        </is>
      </c>
      <c r="F11" s="54" t="inlineStr">
        <is>
          <t>CML3113</t>
        </is>
      </c>
      <c r="G11" s="54" t="inlineStr">
        <is>
          <t>Introduction to Machine Learning in Mining &amp; Petroleum Engineering</t>
        </is>
      </c>
      <c r="H11" s="54" t="inlineStr">
        <is>
          <t>PRACTICAL TEST 1 - Data Investigation (individual, offline)</t>
        </is>
      </c>
      <c r="I11" s="54" t="inlineStr">
        <is>
          <t>• Independently investigate an unfamiliar engineering dataset under time pressure.
• Profile, clean and justify, without a prescribed method.
• Answer stated questions with evidence and correct units.
• Produce charts that answer questions.
• Draw an engineering conclusion and state what further data would be needed.
• Explain their own reasoning in typed offline responses, without executing code or using AI.</t>
        </is>
      </c>
      <c r="J11" s="54" t="inlineStr">
        <is>
          <t>• 0:00-0:15  Seating, machine allocation, dataset variant distribution, rules read aloud, offline mode confirmed.
• 0:15-2:15  TEST, PART A (practical, 2 hours). Individual. An unfamiliar dataset from the cohort's domain plus a task sheet: load and profile; identify and handle defects with a written justification for each; answer three stated engineering questions with evidence; produce three charts, each captioned with the question it answers; list five findings; make one engineering recommendation.
• 2:15-2:40  TEST, PART B (written reasoning, 25 minutes, typed offline responses only; no code execution). Four short questions on their own submission: why that cleaning decision, what the chart does not show, what would change the conclusion, and what data is missing.
• 2:40-3:00  Collection, checksum of submissions, immediate structural check, dismissal.</t>
        </is>
      </c>
      <c r="K11" s="54" t="inlineStr">
        <is>
          <t>• No new concepts. Weeks 1-6 are examined: pandas, cleaning judgement, visualisation, engineering interpretation.
• Examined implicitly: the ability to proceed without instructions.</t>
        </is>
      </c>
      <c r="L11" s="54" t="inlineStr">
        <is>
          <t>• Permitted: Python, VS Code or Jupyter, pandas, NumPy, matplotlib, seaborn, and an OFFLINE documentation bundle.
• Prohibited: internet access, AI assistants, messaging and shared drives. Use the invigilated offline lab and approved-materials checks; offline access alone does not prevent a local AI assistant.
• Rationale published to students in Week 6: AI is permitted and encouraged in projects, where the work is explained and defended; it is excluded from the two tests, which certify unaided capability.</t>
        </is>
      </c>
      <c r="M11" s="54" t="inlineStr">
        <is>
          <t>The test is the practical. Duration 2h00 practical + 0h25 written. Three parallel dataset variants are issued in a checkerboard seating pattern to remove any benefit from collusion.</t>
        </is>
      </c>
      <c r="N11" s="54" t="inlineStr">
        <is>
          <t>UNSEEN test datasets, three matched variants from mining or petroleum data. Suggested: a held-back slice of the flotation data from a different date range, a held-back set of FORCE 2020 wells, and a course-authored haulage or blast log. Variants matched for row count, defect count and difficulty.</t>
        </is>
      </c>
      <c r="O11" s="54" t="inlineStr">
        <is>
          <t>The entire assessment is the challenge: an unfamiliar dataset, no prescribed method, and marks awarded for reasoning as much as for result.</t>
        </is>
      </c>
      <c r="P11" s="54" t="inlineStr">
        <is>
          <t>None issued. Week 8 pre-reading only (a two-page primer on the idea of fitting a line), so the test week carries no homework load.</t>
        </is>
      </c>
      <c r="Q11" s="54" t="inlineStr">
        <is>
          <t>—</t>
        </is>
      </c>
      <c r="R11" s="54" t="inlineStr">
        <is>
          <t>Data Analysis Project continues outside class; due Week 8.</t>
        </is>
      </c>
      <c r="S11" s="54" t="inlineStr">
        <is>
          <t>PRACTICAL TEST 1 = 15% of the Semester 1 mark. Individual. Rubric: profiling 15, cleaning decisions and justification 20, visualisation 20, findings correctness 20, engineering interpretation 15, notebook clarity and reproducibility 10.</t>
        </is>
      </c>
      <c r="T11" s="54" t="inlineStr">
        <is>
          <t>• CAPACITY PLAN: confirm machine and seat availability against cohort size now. Cohort A (~100) will very likely require two sittings with different dataset variants, or a BYOD-plus-lab hybrid. Escalate to the Faculty in Week 1, not Week 6.
• Author three parallel dataset variants of matched difficulty, plus a model answer and a mark scheme for each.
• Build the offline bundle: datasets, offline pandas/seaborn documentation, task sheet. Test it on a machine with the network cable physically unplugged.
• Prepare the invigilation plan, seating chart, and a submission collection method that works without a network (USB collection or a local drop folder).
• Write a structural auto-check script (does the notebook run top to bottom? are the required sections present?) to make ~100 scripts markable in reasonable time.
• Agree the moderation plan and the late/absent policy with the Faculty in advance.</t>
        </is>
      </c>
      <c r="U11" s="54" t="inlineStr">
        <is>
          <t>• Invigilated lab, offline. Confirmed machine count. Spare machines and a power contingency.
• USB drives or a local drop folder for collection.
• Printed task sheets (one per variant) and typed notebook response cells for Part B.
• Second invigilator for any sitting above 40 students.
• Published rubric (issued Week 6).</t>
        </is>
      </c>
      <c r="V11" s="54" t="inlineStr">
        <is>
          <t>DIVERGENT: the three dataset variants and their mark schemes. SHARED: format, rules, duration, rubric, offline bundle.</t>
        </is>
      </c>
    </row>
    <row r="12" ht="219.75" customHeight="1" s="36">
      <c r="A12" s="48" t="n">
        <v>8</v>
      </c>
      <c r="B12" s="49" t="inlineStr">
        <is>
          <t>Block 3 - The Machine Learning Core</t>
        </is>
      </c>
      <c r="C12" s="49" t="inlineStr">
        <is>
          <t>Mon 26 Oct 2026</t>
        </is>
      </c>
      <c r="D12" s="49" t="inlineStr">
        <is>
          <t>Fri 30 Oct 2026
08:00-11:00 · Room 105</t>
        </is>
      </c>
      <c r="E12" s="49" t="inlineStr">
        <is>
          <t>Cohort B</t>
        </is>
      </c>
      <c r="F12" s="49" t="inlineStr">
        <is>
          <t>CML3113</t>
        </is>
      </c>
      <c r="G12" s="49" t="inlineStr">
        <is>
          <t>Introduction to Machine Learning in Mining &amp; Petroleum Engineering</t>
        </is>
      </c>
      <c r="H12" s="49" t="inlineStr">
        <is>
          <t>Learning from data: the first model</t>
        </is>
      </c>
      <c r="I12" s="49" t="inlineStr">
        <is>
          <t>• Express an engineering question as a supervised learning task, naming the features and the target.
• Explain why data is split into training and test sets, using an argument a non-specialist would accept.
• Fit a linear regression, predict, and inspect the coefficients with appropriate caution.
• Compute MAE, RMSE and R-squared, and state the error in the physical units of the problem.
• Beat, or fail to beat, a trivial baseline - and interpret either outcome correctly.
• Explain why a good fit is not evidence of a causal mechanism.</t>
        </is>
      </c>
      <c r="J12" s="49" t="inlineStr">
        <is>
          <t>• 0:00-0:15  Practical Test 1 debrief: the three most common failures, shown anonymously, with the fix.
• 0:15-0:45  Concept: from 'draw the best line by eye' on the projector to 'minimise the total error', to the honest analogy for train/test - revising with the exam paper in front of you tells you nothing about what you know.
• 0:45-1:10  Demonstration: a complete regression in about fifteen lines on the anchor dataset. Every line is justified out loud. Predicted-vs-actual is plotted before any metric is quoted.
• 1:10-2:20  PRACTICAL - First Model. Students build, evaluate and interpret a regression on the cohort anchor dataset; then remove a feature, add a feature, and record what happens to the error in physical units.
• 2:20-2:45  CHALLENGE - Beat the Baseline. A leaderboard is run against a predict-the-mean baseline. Teams that beat it must explain why; teams that do not must diagnose why not. Both are valid outcomes and are marked the same way.
• 2:45-3:00  Data Analysis Project submitted. Engineering ML Project brief previewed.
• LAST FIVE MINUTES — QUIZ 7 - the first model. Open the Form, project the QR, give it exactly five minutes, close it, and show the cohort's score distribution before they leave. Worth 1%, best 10 of 12 count, no resits. If the network is down, convert it to a 24-hour link and say so out loud.</t>
        </is>
      </c>
      <c r="K12" s="49" t="inlineStr">
        <is>
          <t>• Supervised learning; feature matrix X and target vector y.
• Train/test split; random_state and reproducibility.
• Fitting, prediction, residual, loss.
• MAE, RMSE, R-squared - and which one an engineer should quote to a client.
• Error in physical units as the only honest report.
• Baseline models; the meaning of 'better than nothing'.
• Coefficients as association, not mechanism; correlation is not causation.</t>
        </is>
      </c>
      <c r="L12" s="49" t="inlineStr">
        <is>
          <t>• scikit-learn: train_test_split, LinearRegression, mean_absolute_error, mean_squared_error, r2_score.
• matplotlib for predicted-vs-actual and residual plots.
• The sklearn API pattern - fit / predict / score - named explicitly as the pattern that every model in the course will follow.</t>
        </is>
      </c>
      <c r="M12" s="49" t="inlineStr">
        <is>
          <t>First Model notebook (see structure). Core tier: a working, evaluated regression with the error stated in physical units. Stretch tier: a residual plot with a written interpretation of where the model is worst and a hypothesis as to why.
COHORT B FRAMING: The error must be reported as 'plus or minus X percentage points of silica', and the class must answer: would a metallurgist change a reagent set point on that basis? Tying the error to a real operating decision is what makes the metric mean something.</t>
        </is>
      </c>
      <c r="N12" s="49" t="inlineStr">
        <is>
          <t>Flotation subset (Kaggle) predicting percentage silica in the concentrate - a regression with an immediately meaningful commercial error unit.</t>
        </is>
      </c>
      <c r="O12" s="49" t="inlineStr">
        <is>
          <t>Beat the Baseline. The baseline is the pedagogical device: it makes 'R-squared = 0.62' mean something, and it makes an unimpressive model an interesting result rather than a failure.</t>
        </is>
      </c>
      <c r="P12" s="49" t="inlineStr">
        <is>
          <t>A7 / W08: submit the issued cohort notebook with the regression/error interfaces and written interpretation of the supplied comparison. See assessment_banks/W08/&lt;cohort&gt;/A/TASKS.md.</t>
        </is>
      </c>
      <c r="Q12" s="49" t="inlineStr">
        <is>
          <t>QUIZ 7 - the first model
A score quoted on the training rows, a residual plot read the wrong way round, MAE against RMSE on the same data, and a baseline nobody computed.</t>
        </is>
      </c>
      <c r="R12" s="49" t="inlineStr">
        <is>
          <t>DATA ANALYSIS PROJECT DUE (10%). Engineering ML Project brief previewed; teams begin scoping.</t>
        </is>
      </c>
      <c r="S12" s="49" t="inlineStr">
        <is>
          <t>A7 contributes to Practical Challenges (10%). Data Analysis Project is submitted and marked (10%). Regression, metrics and train/test are core to Practical Test 2 (Week 14).</t>
        </is>
      </c>
      <c r="T12" s="49" t="inlineStr">
        <is>
          <t>• Mark Practical Test 1 before this session, or at least identify the three common failures - the debrief is worth more than a marked script returned in Week 11.
• Rehearse the fifteen-line demonstration until it is flawless. This is the single most important demonstration of the semester.
• Prepare the baseline leaderboard (a shared sheet or a simple script) and pre-compute the baseline score.
• Prepare the two-page 'fitting a line' primer as pre-reading.
• Draft the Engineering ML Project brief and rubric for release in Week 9.</t>
        </is>
      </c>
      <c r="U12" s="49" t="inlineStr">
        <is>
          <t>• Computers; anchor dataset offline; projector.
• Leaderboard display.
• Printed sklearn API card (fit / predict / score / metrics).
• Marked or triaged Test 1 scripts for the debrief.</t>
        </is>
      </c>
      <c r="V12" s="49" t="inlineStr">
        <is>
          <t>DIVERGENT: dataset, target and the operating decision question. SHARED: all regression and metric content.</t>
        </is>
      </c>
    </row>
    <row r="13" ht="219.75" customHeight="1" s="36">
      <c r="A13" s="46" t="n">
        <v>9</v>
      </c>
      <c r="B13" s="47" t="inlineStr">
        <is>
          <t>Block 3 - The Machine Learning Core</t>
        </is>
      </c>
      <c r="C13" s="47" t="inlineStr">
        <is>
          <t>Mon 02 Nov 2026</t>
        </is>
      </c>
      <c r="D13" s="47" t="inlineStr">
        <is>
          <t>Fri 06 Nov 2026
08:00-11:00 · Room 105</t>
        </is>
      </c>
      <c r="E13" s="47" t="inlineStr">
        <is>
          <t>Cohort B</t>
        </is>
      </c>
      <c r="F13" s="47" t="inlineStr">
        <is>
          <t>CML3113</t>
        </is>
      </c>
      <c r="G13" s="47" t="inlineStr">
        <is>
          <t>Introduction to Machine Learning in Mining &amp; Petroleum Engineering</t>
        </is>
      </c>
      <c r="H13" s="47" t="inlineStr">
        <is>
          <t>Classification: predicting which category a case belongs to</t>
        </is>
      </c>
      <c r="I13" s="47" t="inlineStr">
        <is>
          <t>• Distinguish a regression task from a classification task, and recognise when a continuous target should be banded.
• Fit and compare logistic regression, a decision tree and a random forest.
• Read a confusion matrix and name each of the four cells in the language of the engineering problem.
• Explain why accuracy is misleading under class imbalance, with a worked case.
• Choose between precision and recall by reasoning about the cost of each kind of mistake.
• Read a feature importance ranking with appropriate scepticism.</t>
        </is>
      </c>
      <c r="J13" s="47" t="inlineStr">
        <is>
          <t>• 0:00-0:25  Concept: the engineering decision problem. Two mistakes are put on the board with their real costs - a false alarm that stops production, and a missed failure that destroys a machine or hurts someone. Everything else follows from that asymmetry.
• 0:25-0:55  Demonstration: a decision tree shallow enough to draw on the board and read as an engineering rule; then the same problem with a random forest, and an honest statement of what was traded away.
• 0:55-2:00  PRACTICAL - Failure Classifier. Students build three classifiers on the cohort dataset, produce confusion matrices, and complete a cost table: what does each cell cost us, in money, downtime or safety?
• 2:00-2:40  CHALLENGE - The 97% Trap. Teams are handed a dataset and a model reporting 97% accuracy. They are told only that the plant manager is unhappy. They must discover the class imbalance, prove the model is useless, and propose a better metric. No hints.
• 2:40-3:00  ENGINEERING ML PROJECT brief and rubric released.
• LAST FIVE MINUTES — QUIZ 8 - classification. Open the Form, project the QR, give it exactly five minutes, close it, and show the cohort's score distribution before they leave. Worth 1%, best 10 of 12 count, no resits. If the network is down, convert it to a 24-hour link and say so out loud.</t>
        </is>
      </c>
      <c r="K13" s="47" t="inlineStr">
        <is>
          <t>• Class, label, decision boundary.
• Logistic regression and its probability output; the threshold as an engineering choice, not a constant.
• Decision trees: splits, depth, readability as a genuine advantage.
• Ensembles and random forests; variance reduction, intuitively.
• Confusion matrix; TP, FP, FN, TN in domain language.
• Accuracy, precision, recall, F1; the precision-recall trade-off.
• Class imbalance and stratification.
• Cost-sensitive thinking; feature importance and its instability.</t>
        </is>
      </c>
      <c r="L13" s="47" t="inlineStr">
        <is>
          <t>• scikit-learn: LogisticRegression, DecisionTreeClassifier, RandomForestClassifier, confusion_matrix, ConfusionMatrixDisplay, classification_report, plot_tree.
• seaborn for the confusion matrix heatmap.
• pandas for the cost table.</t>
        </is>
      </c>
      <c r="M13" s="47" t="inlineStr">
        <is>
          <t>Failure Classifier notebook with three models, three confusion matrices, a cost table and a written recommendation naming the metric the team would report to management and why. Core tier: three working models and correct confusion matrix reading. Stretch tier: move the decision threshold and show the precision-recall trade-off as a curve.
COHORT B FRAMING: Cost table categories: cost of an unnecessary equipment stoppage, cost of an undetected failure including lost production and safety consequence, cost of misclassifying ore as waste, and cost of misclassifying waste as ore.</t>
        </is>
      </c>
      <c r="N13" s="47" t="inlineStr">
        <is>
          <t>Two options. (i) FORCE 2020 well logs for multi-class lithology classification - genuinely imbalanced, genuinely hard, and real. (ii) AI4I 2020 Predictive Maintenance (UCI 601, 10,000 rows, 3.4% failure rate) framed as mining equipment failure, which supplies the imbalance for The 97% Trap.</t>
        </is>
      </c>
      <c r="O13" s="47" t="inlineStr">
        <is>
          <t>The 97% Trap. Deliberately adversarial. It inoculates students against the single most common failure in applied ML, and it is a low-guidance session by design.</t>
        </is>
      </c>
      <c r="P13" s="47" t="inlineStr">
        <is>
          <t>A8 / W09: submit the issued cohort notebook with classification checks and written interpretation of the supplied cost scenario. See assessment_banks/W09/&lt;cohort&gt;/A/TASKS.md.</t>
        </is>
      </c>
      <c r="Q13" s="47" t="inlineStr">
        <is>
          <t>QUIZ 8 - classification
A confusion matrix read for what the model does badly, an accuracy figure quoted without the class balance, and a threshold moved with its effect on each cell.</t>
        </is>
      </c>
      <c r="R13" s="47" t="inlineStr">
        <is>
          <t>ENGINEERING ML PROJECT launched (25%, runs to Week 15). Teams must register a problem statement, a candidate dataset and a named target variable by Week 10.</t>
        </is>
      </c>
      <c r="S13" s="47" t="inlineStr">
        <is>
          <t>A8 contributes to Practical Challenges (10%). The Engineering ML Project brief and rubric are now live. Classification and metric choice are examined in Practical Test 2.</t>
        </is>
      </c>
      <c r="T13" s="47" t="inlineStr">
        <is>
          <t>• Construct the 97% Trap dataset with a realistic imbalance (3-5% positive class) and a pre-built notebook that reports the misleading accuracy.
• Prepare a decision tree that is genuinely readable as an engineering rule - tune max_depth in advance so the board version is honest.
• Prepare the cost table template with cohort-specific cost categories.
• Finalise and publish the Engineering ML Project brief, rubric and milestone schedule.
• Prepare the approved project dataset list, with a route for teams proposing their own.</t>
        </is>
      </c>
      <c r="U13" s="47" t="inlineStr">
        <is>
          <t>• Computers; cohort classification dataset offline; projector and a large whiteboard for the drawn tree.
• Printed cost table template and confusion matrix card.
• Engineering ML Project brief and rubric (printed and posted).
• The 97% Trap notebook distributed offline.</t>
        </is>
      </c>
      <c r="V13" s="47" t="inlineStr">
        <is>
          <t>DIVERGENT: dataset, class definitions and cost categories. SHARED: all classification content and the 97% Trap design.</t>
        </is>
      </c>
    </row>
    <row r="14" ht="219.75" customHeight="1" s="36">
      <c r="A14" s="48" t="n">
        <v>10</v>
      </c>
      <c r="B14" s="49" t="inlineStr">
        <is>
          <t>Block 3 - The Machine Learning Core</t>
        </is>
      </c>
      <c r="C14" s="49" t="inlineStr">
        <is>
          <t>Mon 09 Nov 2026</t>
        </is>
      </c>
      <c r="D14" s="49" t="inlineStr">
        <is>
          <t>Fri 13 Nov 2026
08:00-11:00 · Room 105</t>
        </is>
      </c>
      <c r="E14" s="49" t="inlineStr">
        <is>
          <t>Cohort B</t>
        </is>
      </c>
      <c r="F14" s="49" t="inlineStr">
        <is>
          <t>CML3113</t>
        </is>
      </c>
      <c r="G14" s="49" t="inlineStr">
        <is>
          <t>Introduction to Machine Learning in Mining &amp; Petroleum Engineering</t>
        </is>
      </c>
      <c r="H14" s="49" t="inlineStr">
        <is>
          <t>Can I trust this model?</t>
        </is>
      </c>
      <c r="I14" s="49" t="inlineStr">
        <is>
          <t>• Diagnose overfitting and underfitting from the gap between training and test performance.
• Run k-fold cross-validation and report a mean with a spread, rather than a single number.
• Identify data leakage in a pipeline and name which of the four kinds it is.
• Rebuild a leaking workflow correctly using a Pipeline.
• Select a metric and defend the choice against a stated engineering consequence.
• State the conditions under which their own model should not be used.</t>
        </is>
      </c>
      <c r="J14" s="49" t="inlineStr">
        <is>
          <t>• 0:00-0:30  Concept: generalisation. Three error stories are told - the model that memorised, the model that never learned, and the model that cheated. Students must learn to tell them apart from evidence.
• 0:30-0:55  Demonstration: a tree depth sweep in which training accuracy rises to 1.0 while test accuracy falls. Then cross_val_score, and the discovery that a single train/test split was itself a noisy measurement.
• 0:55-2:00  PRACTICAL - Trust Lab. Students produce a validation curve, run 5-fold cross-validation, and then deliberately introduce two leaks: scaling before the split, and including a column that is only known after the outcome. They record the impossibly good score each leak produces, then fix both with a Pipeline.
• 2:00-2:40  CHALLENGE - Too Good To Be True. Teams receive a notebook reporting R-squared = 0.998 and must find out why. The planted causes differ by team: target leakage, duplicated rows spanning the split, and an identifier column correlated with the target.
• 2:40-3:00  Project Milestone 1 review, in team slots.
• LAST FIVE MINUTES — QUIZ 9 - can I trust this model?. Open the Form, project the QR, give it exactly five minutes, close it, and show the cohort's score distribution before they leave. Worth 1%, best 10 of 12 count, no resits. If the network is down, convert it to a 24-hour link and say so out loud.</t>
        </is>
      </c>
      <c r="K14" s="49" t="inlineStr">
        <is>
          <t>• Generalisation; the bias-variance idea, described without algebra.
• Overfitting, underfitting, and the diagnostic gap.
• Validation set vs test set; why the test set is spent only once.
• k-fold and stratified k-fold cross-validation; mean and standard deviation of a score.
• Data leakage: train-test contamination, target leakage, temporal leakage, group leakage.
• Pipeline as the structural fix for leakage, not merely as tidy code.
• Metric selection as an engineering decision.
• The domain of validity of a model; reproducibility and seeds.</t>
        </is>
      </c>
      <c r="L14" s="49" t="inlineStr">
        <is>
          <t>• scikit-learn: cross_val_score, KFold, StratifiedKFold, validation_curve, Pipeline, StandardScaler.
• matplotlib for the validation curve.
• AI assistant, supervised use 3 - the advanced prompt: 'review this pipeline for data leakage and explain any problem you find'. Students must verify the answer, and are marked on the verification.</t>
        </is>
      </c>
      <c r="M14" s="49" t="inlineStr">
        <is>
          <t>Trust Lab (see structure). Deliverable: a notebook containing the validation curve, cross-validation results reported as mean and standard deviation, two demonstrated leaks with their inflated scores, and the Pipeline-based fix. Core tier: all of the above. Stretch tier: a written 'conditions of use' statement for their own project model.</t>
        </is>
      </c>
      <c r="N14" s="49" t="inlineStr">
        <is>
          <t>The team's own project dataset, plus three course-authored 'Too Good To Be True' notebooks. Planted causes for this cohort: the laboratory silica assay left in the features while predicting silica; duplicated 20-second records spanning the split; and a well or hole identifier that encodes the lithology.</t>
        </is>
      </c>
      <c r="O14" s="49" t="inlineStr">
        <is>
          <t>Too Good To Be True. Three different planted causes across the room, so teams cannot copy a diagnosis. This is the highest-value single exercise in the semester: leakage is the defect most likely to appear in student projects and in professional practice.</t>
        </is>
      </c>
      <c r="P14" s="49" t="inlineStr">
        <is>
          <t>A9 / W10: submit the issued cohort notebook with group-split/preprocessing checks and written leakage/conditions-of-use evidence. The broader project Trust Lab remains project development.</t>
        </is>
      </c>
      <c r="Q14" s="49" t="inlineStr">
        <is>
          <t>QUIZ 9 - can I trust this model?
Train and test scores matched to one of the three error stories, four pipelines with one that leaks, and a cross-validated score quoted without its spread. The highest-value quiz of the twelve, and worth protecting the five minutes for.</t>
        </is>
      </c>
      <c r="R14" s="49" t="inlineStr">
        <is>
          <t>PROJECT MILESTONE 1 (graded milestone): problem statement, dataset with licence, named target, and a baseline notebook. Each member's contribution log must be present in the repository.</t>
        </is>
      </c>
      <c r="S14" s="49" t="inlineStr">
        <is>
          <t>A9 contributes to Practical Challenges (10%). PM1 is a graded milestone within the Engineering ML Project (25%). Validation carries 15 of the 100 marks in the project rubric, and leakage control carries 20 of the 100 marks in the Practical Test 2 rubric.</t>
        </is>
      </c>
      <c r="T14" s="49" t="inlineStr">
        <is>
          <t>• Build three separate Too Good To Be True notebooks, one per planted cause, with a diagnosis key.
• Pre-run the depth sweep so the demonstration cannot fail live.
• Prepare the PM1 review slot booking sheet. For ~22 teams, run this as a 4-minute stand-up per team with a printed checklist, not a conversation.
• Prepare the contribution log template (who did what, with commit evidence).
• Draft the Practical Test 2 specification now, so Week 11-13 teaching can be aligned to it.</t>
        </is>
      </c>
      <c r="U14" s="49" t="inlineStr">
        <is>
          <t>• Computers; the three challenge notebooks offline; projector.
• Printed PM1 checklist and contribution log template.
• Printed leakage taxonomy card (four kinds, one example each).
• Timer for the PM1 stand-ups.</t>
        </is>
      </c>
      <c r="V14" s="49" t="inlineStr">
        <is>
          <t>DIVERGENT: the planted leakage causes are dressed in mining and petroleum terms, and the temporal leakage case is emphasised because process data is a time series. SHARED: all validation content.</t>
        </is>
      </c>
    </row>
    <row r="15" ht="219.75" customHeight="1" s="36">
      <c r="A15" s="46" t="n">
        <v>11</v>
      </c>
      <c r="B15" s="47" t="inlineStr">
        <is>
          <t>Block 4 - Practical Machine Learning Judgement</t>
        </is>
      </c>
      <c r="C15" s="47" t="inlineStr">
        <is>
          <t>Mon 16 Nov 2026</t>
        </is>
      </c>
      <c r="D15" s="47" t="inlineStr">
        <is>
          <t>Fri 20 Nov 2026
08:00-11:00 · Room 105</t>
        </is>
      </c>
      <c r="E15" s="47" t="inlineStr">
        <is>
          <t>Cohort B</t>
        </is>
      </c>
      <c r="F15" s="47" t="inlineStr">
        <is>
          <t>CML3113</t>
        </is>
      </c>
      <c r="G15" s="47" t="inlineStr">
        <is>
          <t>Introduction to Machine Learning in Mining &amp; Petroleum Engineering</t>
        </is>
      </c>
      <c r="H15" s="47" t="inlineStr">
        <is>
          <t>Features: where engineering knowledge enters the model</t>
        </is>
      </c>
      <c r="I15" s="47" t="inlineStr">
        <is>
          <t>• Encode categorical variables appropriately and explain why the encoding choice matters.
• Scale features and state which models are sensitive to scale and which are not.
• Construct a feature from domain knowledge and measure whether it helped.
• Select features defensibly, including by ablation.
• Assemble a leak-proof ColumnTransformer inside a Pipeline.
• Write a feature dictionary that another engineer could work from.</t>
        </is>
      </c>
      <c r="J15" s="47" t="inlineStr">
        <is>
          <t>• 0:00-0:25  Concept: the model knows only what it is fed. A feature is engineering knowledge written in a form the model can use - and it is the one place where a domain engineer beats a better programmer.
• 0:25-0:55  Demonstration: one-hot and ordinal encoding; StandardScaler inside a Pipeline; and then a single domain-derived feature that outperforms every raw column combined.
• 0:55-2:00  PRACTICAL - Feature Workshop. Students engineer five features from domain knowledge, then measure each one's contribution by ablation and tabulate the result. A feature that does not help must be reported, not deleted.
• 2:00-2:40  CHALLENGE - Domain Advantage. The room is split. Half of each pair of teams may use only the raw columns; the other half must invent features and may not add any new model. They compete, then explain the difference. The lesson lands because they generated the evidence.
• 2:40-3:00  Project Milestone 2 briefing.
• LAST FIVE MINUTES — QUIZ 10 - features. Open the Form, project the QR, give it exactly five minutes, close it, and show the cohort's score distribution before they leave. Worth 1%, best 10 of 12 count, no resits. If the network is down, convert it to a 24-hour link and say so out loud.</t>
        </is>
      </c>
      <c r="K15" s="47" t="inlineStr">
        <is>
          <t>• Categorical vs numeric vs ordinal; cardinality.
• One-hot and ordinal encoding; the dummy variable trap, briefly.
• Standardisation and min-max scaling; distance-based and gradient-based sensitivity vs tree-based indifference.
• Ratios, interactions, and dimensionless groups as features.
• Binning and thresholds derived from standards or codes of practice.
• Feature selection: correlation screening, importance, and ablation as the honest method.
• ColumnTransformer and Pipeline for mixed data types without leakage.
• The feature dictionary as a required project artefact.</t>
        </is>
      </c>
      <c r="L15" s="47" t="inlineStr">
        <is>
          <t>• scikit-learn: OneHotEncoder, OrdinalEncoder, StandardScaler, MinMaxScaler, ColumnTransformer, Pipeline, SelectKBest.
• pandas for feature construction and the ablation results table.
• Git: a branch per feature experiment, which is where branching finally has an obvious purpose.</t>
        </is>
      </c>
      <c r="M15" s="47" t="inlineStr">
        <is>
          <t>Feature Workshop (see structure). Deliverable: five engineered features, each with a stated physical rationale, plus an ablation table showing the effect of each on the chosen metric. Core tier: five features with the ablation table. Stretch tier: a feature that encodes a design code, standard or empirical relationship from their own discipline, with the reference cited.
COHORT B FRAMING: Domain features that should be engineered: reagent-to-feed ratio, air-to-pulp ratio, contained metal as grade times tonnage, specific energy as torque times rotation over penetration rate, cumulative operating hours since maintenance, rolling mean and standard deviation of a process variable, and log-transformed resistivity. The reagent-to-feed ratio is the demonstration feature - a ratio a metallurgist would reach for immediately and that the raw flows cannot express.</t>
        </is>
      </c>
      <c r="N15" s="47" t="inlineStr">
        <is>
          <t>Flotation subset and, for the petroleum stream, FORCE 2020 well logs.</t>
        </is>
      </c>
      <c r="O15" s="47" t="inlineStr">
        <is>
          <t>Domain Advantage - a controlled experiment run by the students on themselves, comparing raw data plus a better algorithm against domain knowledge plus a simple algorithm.</t>
        </is>
      </c>
      <c r="P15" s="47" t="inlineStr">
        <is>
          <t>A10 / W11: submit the issued cohort notebook with feature/error checks and written interpretation of the supplied ablation. Extend the method to your project separately.</t>
        </is>
      </c>
      <c r="Q15" s="47" t="inlineStr">
        <is>
          <t>QUIZ 10 - features
An ablation table read for which feature earned its place, a one-hot encoding on a high-cardinality column, and a scaler that made no difference to a tree.</t>
        </is>
      </c>
      <c r="R15" s="47" t="inlineStr">
        <is>
          <t>PROJECT MILESTONE 2 briefed this week and due at the start of Week 12 (graded milestone): cleaned dataset, feature dictionary, and a first properly evaluated model inside a Pipeline.</t>
        </is>
      </c>
      <c r="S15" s="47" t="inlineStr">
        <is>
          <t>A10 contributes to Practical Challenges (10%). PM2 is a graded milestone within the project (25%). Engineering reasoning carries 20 of the 100 project marks, and feature construction is where it is most visible.</t>
        </is>
      </c>
      <c r="T15" s="47" t="inlineStr">
        <is>
          <t>• Identify, in advance, the one domain feature per cohort that clearly beats the raw columns - and verify it empirically before class. If the demonstration fails, the week's argument fails.
• Prepare the Domain Advantage pairing so that both conditions are genuinely competitive.
• Prepare the ablation table template and the feature dictionary template.
• Publish the Practical Test 2 specification and rubric this week.</t>
        </is>
      </c>
      <c r="U15" s="47" t="inlineStr">
        <is>
          <t>• Computers; cohort dataset offline.
• Printed feature dictionary and ablation table templates.
• Cohort-specific reference sheet of standards, codes or empirical relations that can legitimately become features.
• Practical Test 2 specification and rubric for distribution.</t>
        </is>
      </c>
      <c r="V15" s="47" t="inlineStr">
        <is>
          <t>DIVERGENT: the feature set and the reference sheet of standard mining and petroleum relations. SHARED: all encoding, scaling, pipeline and ablation content.</t>
        </is>
      </c>
    </row>
    <row r="16" ht="219.75" customHeight="1" s="36">
      <c r="A16" s="48" t="n">
        <v>12</v>
      </c>
      <c r="B16" s="49" t="inlineStr">
        <is>
          <t>Block 4 - Practical Machine Learning Judgement</t>
        </is>
      </c>
      <c r="C16" s="49" t="inlineStr">
        <is>
          <t>Mon 23 Nov 2026</t>
        </is>
      </c>
      <c r="D16" s="49" t="inlineStr">
        <is>
          <t>Fri 27 Nov 2026
08:00-11:00 · Room 105</t>
        </is>
      </c>
      <c r="E16" s="49" t="inlineStr">
        <is>
          <t>Cohort B</t>
        </is>
      </c>
      <c r="F16" s="49" t="inlineStr">
        <is>
          <t>CML3113</t>
        </is>
      </c>
      <c r="G16" s="49" t="inlineStr">
        <is>
          <t>Introduction to Machine Learning in Mining &amp; Petroleum Engineering</t>
        </is>
      </c>
      <c r="H16" s="49" t="inlineStr">
        <is>
          <t>Model comparison and engineering judgement (low-guidance week)</t>
        </is>
      </c>
      <c r="I16" s="49" t="inlineStr">
        <is>
          <t>• Design a fair comparison in which only the model changes.
• Tune one or two hyperparameters using search inside cross-validation.
• Weigh accuracy against interpretability, data requirements, computational cost and failure behaviour.
• Write a one-page recommendation that a supervising engineer could act on.
• Defend a modelling choice under hostile questioning, and concede when the challenge is correct.</t>
        </is>
      </c>
      <c r="J16" s="49" t="inlineStr">
        <is>
          <t>• 0:00-0:10  Where we got to, and what is different about this week.
• 0:10-0:30  Concept: the comparison protocol. What must be held constant, what may vary, and why a leaderboard without a protocol is meaningless. Then the five selection criteria beyond accuracy.
• 0:30-0:45  Demonstration: exactly one worked GridSearchCV inside a Pipeline. Short by design - this week the students do the work.
• 0:45-0:55  BREAK.
• 0:55-2:35  ENGINEERING AI CHALLENGE - Choose a Model and Defend It. Teams receive an unfamiliar dataset and a brief from a fictional client. They must run at least four candidate models under an identical protocol, tabulate the results, and produce a one-page recommendation. Use 70 minutes for project practice and reserve 30 minutes for each student to complete the issued W12 notebook and written evidence. The later defence round gives formative feedback on the project recommendation.
• 2:35-2:50  DEFENCE ROUND. Each team presents its recommendation to another team, whose job is to attack it. Two challenges must be raised and answered. The lecturer gives formative feedback on the challenges and defences.
• 2:50-2:55  Project Milestone 3 briefing and W12 upload instructions.
• 2:55-3:00  WEEKLY QUIZ. Five questions; two revisit earlier weeks.
• LAST FIVE MINUTES — QUIZ 11 - model comparison (integrative). Open the Form, project the QR, give it exactly five minutes, close it, and show the cohort's score distribution before they leave. Worth 1%, best 10 of 12 count, no resits. If the network is down, convert it to a 24-hour link and say so out loud.</t>
        </is>
      </c>
      <c r="K16" s="49" t="inlineStr">
        <is>
          <t>• Comparison protocol; controlling the experiment.
• Parameters vs hyperparameters.
• Grid search and random search; search nested inside cross-validation.
• Variance of an estimate; when a difference in score is not a real difference.
• Selection criteria: accuracy, interpretability, training and inference cost, data hunger, and failure mode.
• Interpretability as a regulatory and professional requirement, not a preference.
• The engineering decision memo as a written form.</t>
        </is>
      </c>
      <c r="L16" s="49" t="inlineStr">
        <is>
          <t>• scikit-learn: GridSearchCV, RandomizedSearchCV, cross_validate, and the Pipeline as the unit of comparison.
• pandas for the results table.
• XGBoost / LightGBM: named and demonstrated for sixty seconds only, then explicitly deferred to Semester 2. Students are told why - the tool is not the lesson.
• AI assistant: permitted for this challenge, with every use logged. The recommendation must be defended orally, which is what makes the logging honest.</t>
        </is>
      </c>
      <c r="M16" s="49" t="inlineStr">
        <is>
          <t>The challenge is the practical. Deliverable per team: a results table for at least four models under one protocol, and a one-page recommendation naming the chosen model, the metric, the trade-off accepted, and the conditions under which the recommendation would change.</t>
        </is>
      </c>
      <c r="N16" s="49" t="inlineStr">
        <is>
          <t>An unfamiliar mining or petroleum dataset with a client brief. Suggested: MetroPT-3 (UCI 791) as an equipment health analogue, or a held-back FORCE 2020 well set. The client brief should include a production or safety consequence so that recall matters more than accuracy.</t>
        </is>
      </c>
      <c r="O16" s="49" t="inlineStr">
        <is>
          <t>Choose a Model and Defend It, plus the adversarial Defence Round. This is the week that most directly rehearses professional engineering practice, and the least guided session before the test.</t>
        </is>
      </c>
      <c r="P16" s="49" t="inlineStr">
        <is>
          <t>A11 / W12: submit the issued cohort notebook with selection/error checks and written reasoning about the supplied constraints. The in-class recommendation and live defence are practice. This is the last weekly challenge.</t>
        </is>
      </c>
      <c r="Q16" s="49" t="inlineStr">
        <is>
          <t>QUIZ 11 - model comparison (integrative)
Whether a difference between two models is real given the fold spread, and which model a stated client constraint selects. TWO of the five questions are drawn from the Week 1-10 banks, which is what keeps the quizzes cumulative rather than disposable.</t>
        </is>
      </c>
      <c r="R16" s="49" t="inlineStr">
        <is>
          <t>PROJECT MILESTONE 3 briefed this week and due at the start of Week 13 (graded milestone): a model comparison table for the team's own project, with a justified selection.</t>
        </is>
      </c>
      <c r="S16" s="49" t="inlineStr">
        <is>
          <t>A11 contributes to Practical Challenges (10%) and is graded in-session. PM3 is a graded milestone within the project (25%). This session is the closest rehearsal for Practical Test 2.</t>
        </is>
      </c>
      <c r="T16" s="49" t="inlineStr">
        <is>
          <t>• Select the challenge dataset and write the fictional client brief. The brief must contain a real constraint - a cost, a safety consequence, or a requirement that the decision be explainable to a regulator.
• Pre-run the four candidate models to confirm the challenge is achievable in 100 minutes and that no single model trivially dominates.
• Print the question bank cards and brief any assistants: questions only, no answers, for the entire session.
• Prepare the recommendation template and the defence round pairing.
• Prepare the one-minute XGBoost demonstration and the explicit deferral message.</t>
        </is>
      </c>
      <c r="U16" s="49" t="inlineStr">
        <is>
          <t>• Computers; challenge dataset offline; printed client briefs.
• Printed question-bank cards and recommendation template.
• Room layout allowing team-to-team defence (movable seating strongly preferred).
• Timer and a visible protocol poster.</t>
        </is>
      </c>
      <c r="V16" s="49" t="inlineStr">
        <is>
          <t>DIVERGENT: challenge dataset and client brief. SHARED: protocol, defence round, criteria.</t>
        </is>
      </c>
    </row>
    <row r="17" ht="219.75" customHeight="1" s="36">
      <c r="A17" s="46" t="n">
        <v>13</v>
      </c>
      <c r="B17" s="47" t="inlineStr">
        <is>
          <t>Block 5 - Engineering Project</t>
        </is>
      </c>
      <c r="C17" s="47" t="inlineStr">
        <is>
          <t>Mon 30 Nov 2026</t>
        </is>
      </c>
      <c r="D17" s="47" t="inlineStr">
        <is>
          <t>Fri 04 Dec 2026
08:00-11:00 · Room 105</t>
        </is>
      </c>
      <c r="E17" s="47" t="inlineStr">
        <is>
          <t>Cohort B</t>
        </is>
      </c>
      <c r="F17" s="47" t="inlineStr">
        <is>
          <t>CML3113</t>
        </is>
      </c>
      <c r="G17" s="47" t="inlineStr">
        <is>
          <t>Introduction to Machine Learning in Mining &amp; Petroleum Engineering</t>
        </is>
      </c>
      <c r="H17" s="47" t="inlineStr">
        <is>
          <t>Project studio: reproducibility, communication and peer review</t>
        </is>
      </c>
      <c r="I17" s="47" t="inlineStr">
        <is>
          <t>• Structure a repository that a stranger could clone and run.
• Write a README that states the problem, the data, the method, the result and the limitations.
• Capture an environment so the analysis can be reproduced.
• Report a result honestly, including uncertainty and the conditions of use.
• Review another team's work against a published rubric and give specific, actionable feedback.
• Declare and account for the use of AI assistance.</t>
        </is>
      </c>
      <c r="J17" s="47" t="inlineStr">
        <is>
          <t>• 0:00-0:10  Where we got to.
• 0:10-0:30  Concept: reproducibility as professional obligation. Repository anatomy (data / notebooks / src / README / requirements.txt), relative paths, seeds, and what a reviewer looks for first.
• 0:30-0:50  Demonstration: a messy exploratory notebook is refactored live into a clean repository with a README. The messy version is the students' own typical output, used with permission.
• 0:50-1:00  BREAK.
• 1:00-2:35  STUDIO. Teams build. The lecturer runs timed clinic slots on a booked rotation (see preparation - this is the session that fails without a booking sheet). Teams not in a clinic slot work or peer-review.
• 2:35-2:50  PEER REVIEW ROUND. Each team reviews another team's repository against the project rubric and returns a written review naming two strengths and two specific fixes.
• 2:50-2:55  Practical Test 2 briefing: format, rules, offline mode, rubric restated.
• 2:55-3:00  WEEKLY QUIZ, the last of the twelve. Five questions; two revisit earlier weeks.
• LAST FIVE MINUTES — QUIZ 12 - reproducibility (integrative). Open the Form, project the QR, give it exactly five minutes, close it, and show the cohort's score distribution before they leave. Worth 1%, best 10 of 12 count, no resits. If the network is down, convert it to a 24-hour link and say so out loud.</t>
        </is>
      </c>
      <c r="K17" s="47" t="inlineStr">
        <is>
          <t>• Repository structure and naming conventions.
• README anatomy; the two-page engineering brief as a distinct genre from a notebook.
• requirements.txt and environment capture; relative paths; random seeds.
• Data documentation and licence attribution.
• Figure captions that state a finding rather than describe an axis.
• Honest reporting: uncertainty, limitations, conditions of use.
• AI-use declaration as a professional norm.
• Peer review as a skill in its own right.</t>
        </is>
      </c>
      <c r="L17" s="47" t="inlineStr">
        <is>
          <t>• Git: branches, merges, and a history that shows who did what.
• GitHub: README, repository structure, issues as a task list.
• requirements.txt / pip freeze.
• Notebook hygiene: restart-and-run-all as the acceptance test.
• Streamlit: a three-minute teaser only, framed as a Semester 2 destination for turning a model into something a colleague can use.</t>
        </is>
      </c>
      <c r="M17" s="47" t="inlineStr">
        <is>
          <t>Studio build plus the peer review round. Deliverable: a repository that passes restart-and-run-all, a complete README, requirements.txt, a contribution log, and a received peer review with a written response to it.</t>
        </is>
      </c>
      <c r="N17" s="47" t="inlineStr">
        <is>
          <t>The team's own project dataset.</t>
        </is>
      </c>
      <c r="O17" s="47" t="inlineStr">
        <is>
          <t>The peer review itself. Teams discover that reviewing is harder than building, and they find their own defects in someone else's repository.</t>
        </is>
      </c>
      <c r="P17" s="47" t="inlineStr">
        <is>
          <t>No new assignment - project work only, deliberately, so the week before the test carries no extra load.</t>
        </is>
      </c>
      <c r="Q17" s="47" t="inlineStr">
        <is>
          <t>QUIZ 12 - reproducibility (integrative)
A notebook that will not run on another machine, a hard-coded path, and a seed that was never set. TWO of the five are drawn from earlier banks. Run it before the peer review round so it does not compete with studio time.</t>
        </is>
      </c>
      <c r="R17" s="47" t="inlineStr">
        <is>
          <t>PROJECT MILESTONE 4: repository freeze candidate, restart-and-run-all passing, peer review received and responded to.</t>
        </is>
      </c>
      <c r="S17" s="47" t="inlineStr">
        <is>
          <t>PM4 feeds the Reproducibility and documentation (5%) and Communication (10%) criteria of the project rubric, and the whole session prepares the Week 15 demo. Practical Test 2 is briefed here.</t>
        </is>
      </c>
      <c r="T17" s="47" t="inlineStr">
        <is>
          <t>• BUILD THE CLINIC BOOKING SHEET. With ~22 teams in Cohort A, 95 minutes allows roughly 4 minutes per team, or 8 minutes for half of them with the other half seen in office hours. Decide and publish this before the session, and use a printed checklist so each slot is diagnostic rather than conversational.
• Prepare the messy-to-clean refactor demonstration using a real (anonymised, permitted) student notebook.
• Prepare the peer review form, keyed to the project rubric, and the review pairing.
• Prepare the repository checklist that teams self-assess against before booking a clinic slot.
• Finalise Practical Test 2: variants, offline bundle, capacity plan, invigilation.</t>
        </is>
      </c>
      <c r="U17" s="47" t="inlineStr">
        <is>
          <t>• Computers; movable seating; printed clinic booking sheet and repository checklist.
• Printed peer review forms.
• Two assistants or floor helpers if the cohort exceeds 60 students.
• Practical Test 2 information sheet.</t>
        </is>
      </c>
      <c r="V17" s="47" t="inlineStr">
        <is>
          <t>FULLY SHARED. Prepare once.</t>
        </is>
      </c>
    </row>
    <row r="18" ht="219.75" customHeight="1" s="36">
      <c r="A18" s="53" t="n">
        <v>14</v>
      </c>
      <c r="B18" s="54" t="inlineStr">
        <is>
          <t>ASSESSMENT WEEK 2</t>
        </is>
      </c>
      <c r="C18" s="54" t="inlineStr">
        <is>
          <t>Mon 07 Dec 2026</t>
        </is>
      </c>
      <c r="D18" s="54" t="inlineStr">
        <is>
          <t>Fri 11 Dec 2026
08:00-11:00 · Room 105</t>
        </is>
      </c>
      <c r="E18" s="54" t="inlineStr">
        <is>
          <t>Cohort B</t>
        </is>
      </c>
      <c r="F18" s="54" t="inlineStr">
        <is>
          <t>CML3113</t>
        </is>
      </c>
      <c r="G18" s="54" t="inlineStr">
        <is>
          <t>Introduction to Machine Learning in Mining &amp; Petroleum Engineering</t>
        </is>
      </c>
      <c r="H18" s="54" t="inlineStr">
        <is>
          <t>PRACTICAL TEST 2 - End-to-End Engineering Machine Learning (individual, offline)</t>
        </is>
      </c>
      <c r="I18" s="54" t="inlineStr">
        <is>
          <t>• Frame an unfamiliar engineering problem as a machine learning task, unaided.
• Prepare data and control leakage within a pipeline.
• Build and compare at least two models under a single valid protocol.
• Evaluate with a justified metric and report the result in engineering terms.
• State the model's limitations and the conditions under which it should not be used.
• Explain their own reasoning in writing without any tool.</t>
        </is>
      </c>
      <c r="J18" s="54" t="inlineStr">
        <is>
          <t>• 0:00-0:15  Seating, machine allocation, variant distribution, rules read aloud, offline mode confirmed.
• 0:15-2:15  TEST, PART A (practical, 2 hours). Individual, unfamiliar dataset from the cohort's domain. Tasks: state the ML task and name the target; prepare the data with justified decisions; build at least two models inside a leak-proof pipeline; evaluate with a justified metric and validate properly; report the result in physical or operational units; state three limitations.
• 2:15-2:40  TEST, PART B (written reasoning, 25 minutes, typed offline responses only; no code execution). Why this metric. Where could this pipeline leak. What would change your recommendation. Would you deploy this, and what would you require first.
• 2:40-3:00  Collection, structural check, dismissal. Week 15 demo running order confirmed.</t>
        </is>
      </c>
      <c r="K18" s="54" t="inlineStr">
        <is>
          <t>• No new concepts. Weeks 8-13 are examined: supervised learning, validation, leakage, features, model comparison and engineering interpretation.</t>
        </is>
      </c>
      <c r="L18" s="54" t="inlineStr">
        <is>
          <t>• Permitted: Python, VS Code or Jupyter, pandas, NumPy, matplotlib, seaborn, scikit-learn, and the offline documentation bundle.
• Prohibited: internet, AI assistants, messaging. The room runs offline.
• The offline bundle must include the scikit-learn API documentation - the test examines judgement, not memory of parameter names.</t>
        </is>
      </c>
      <c r="M18" s="54" t="inlineStr">
        <is>
          <t>The test is the practical. Duration 2h00 practical + 0h25 written. Three parallel dataset variants in a checkerboard seating pattern.</t>
        </is>
      </c>
      <c r="N18" s="54" t="inlineStr">
        <is>
          <t>UNSEEN test datasets, three matched variants from the mining or petroleum domain, each supporting at least two model families.</t>
        </is>
      </c>
      <c r="O18" s="54" t="inlineStr">
        <is>
          <t>The whole assessment. An unfamiliar dataset, no prescribed method, and a rubric that awards more marks for reasoning and interpretation than for the score achieved.</t>
        </is>
      </c>
      <c r="P18" s="54" t="inlineStr">
        <is>
          <t>None. Final project preparation only.</t>
        </is>
      </c>
      <c r="Q18" s="54" t="inlineStr">
        <is>
          <t>—</t>
        </is>
      </c>
      <c r="R18" s="54" t="inlineStr">
        <is>
          <t>Engineering ML Project: final build week outside class. Repository and two-page brief due at the Week 15 session.</t>
        </is>
      </c>
      <c r="S18" s="54" t="inlineStr">
        <is>
          <t>PRACTICAL TEST 2 = 20% of the Semester 1 mark. Individual. Rubric: task framing 10, data preparation and leakage control 20, modelling protocol 20, evaluation and metric justification 20, engineering interpretation and limits 20, code clarity 10.</t>
        </is>
      </c>
      <c r="T18" s="54" t="inlineStr">
        <is>
          <t>• Author three parallel dataset variants of matched difficulty, each with a model answer and a mark scheme.
• Build and test the offline bundle, including scikit-learn documentation, on a machine with the network physically disconnected.
• Confirm the capacity plan. Cohort A will very likely need two sittings; this must be timetabled with the Faculty by Week 7 at the latest.
• Write the structural auto-check script (runs top to bottom, required sections present, no internet calls) to make large-cohort marking feasible.
• Agree the moderation sample and the double-marking plan with the Faculty.
• Prepare the Week 15 demo running order, two typed defence prompts and the digital submission check.</t>
        </is>
      </c>
      <c r="U18" s="54" t="inlineStr">
        <is>
          <t>• Invigilated offline lab; confirmed machine count; spare machines; power contingency.
• USB or local drop folder collection.
• Printed task sheets per variant; Part B answers typed into the notebook.
• Second invigilator for any sitting above 40 students.
• Rubric published in Week 11.</t>
        </is>
      </c>
      <c r="V18" s="54" t="inlineStr">
        <is>
          <t>DIVERGENT: the three dataset variants and their mark schemes. SHARED: format, rules, duration, rubric.</t>
        </is>
      </c>
    </row>
    <row r="19" ht="219.75" customHeight="1" s="36">
      <c r="A19" s="51" t="n">
        <v>15</v>
      </c>
      <c r="B19" s="52" t="inlineStr">
        <is>
          <t>Block 5 - Engineering Project</t>
        </is>
      </c>
      <c r="C19" s="52" t="inlineStr">
        <is>
          <t>Mon 14 Dec 2026</t>
        </is>
      </c>
      <c r="D19" s="52" t="inlineStr">
        <is>
          <t>Fri 18 Dec 2026
08:00-11:00 · Room 105</t>
        </is>
      </c>
      <c r="E19" s="52" t="inlineStr">
        <is>
          <t>Cohort B</t>
        </is>
      </c>
      <c r="F19" s="52" t="inlineStr">
        <is>
          <t>CML3113</t>
        </is>
      </c>
      <c r="G19" s="52" t="inlineStr">
        <is>
          <t>Introduction to Machine Learning in Mining &amp; Petroleum Engineering</t>
        </is>
      </c>
      <c r="H19" s="52" t="inlineStr">
        <is>
          <t>Engineering ML Demo Day, individual viva and reflection</t>
        </is>
      </c>
      <c r="I19" s="52" t="inlineStr">
        <is>
          <t>• Present a data-driven engineering solution to a mixed audience in six minutes.
• Answer challenging questions about method and limitations without defensiveness.
• Assess a peer's work against a rubric and justify the marks awarded.
• Account individually for their own contribution and for any AI assistance used.
• Reflect on their own progression from Week 1 and set two goals for Semester 2.</t>
        </is>
      </c>
      <c r="J19" s="52" t="inlineStr">
        <is>
          <t>• 0:00-0:10  Running order, rules, and the marking process explained.
• 0:10-2:20  DEMO FAIR, two rounds. Teams present at stations (laptop plus a one-page poster) while the lecturer and any invited guests offer formative feedback. Every team presents to at least four peers. All cohorts use the fair plus three selected plenary demos, each at most six minutes.
•    (inside the fair)  INDIVIDUAL DEFENCE. Every student submits typed answers to two repository-specific questions with their reflection. Local rubric assessment uses this evidence. Live questioning samples understanding for formative feedback; it cannot cover every student in a large cohort.
• 2:20-2:40  PLENARY: three demos of at most six minutes each, then two minutes for recognition (Best Engineering Reasoning, Best Investigation, Most Honest Limitations).
• 2:40-2:55  Feedback synthesis: what the cohort achieved, measured against the Week 1 promise. Semester 2 preview.
• 2:55-3:00  Individual reflection submitted.</t>
        </is>
      </c>
      <c r="K19" s="52" t="inlineStr">
        <is>
          <t>• Technical communication to a mixed audience.
• Defending a method; conceding a valid criticism as a professional strength.
• Peer assessment against a rubric.
• Individual accountability within team work.
• Reflective practice and self-directed goal setting.
• The graduate claim restated: 'give me an engineering problem involving data and I know how to start investigating it.'</t>
        </is>
      </c>
      <c r="L19" s="52" t="inlineStr">
        <is>
          <t>• Whatever the project required - the tool list is now the students' choice, which is itself the outcome being demonstrated.
• Optional and encouraged: a Streamlit interface, for teams who went beyond the brief.
• Include the repository URL with the actual required project files in the digital submission packet.</t>
        </is>
      </c>
      <c r="M19" s="52" t="inlineStr">
        <is>
          <t>Upload the project packet by the start: repository URL, required project files, two-page engineering brief, one-page poster, AI-use declaration and contribution log. Upload the complete individual DEMO packet, including two typed defence answers and the 500-word reflection, by the end. Live questions and peer feedback are formative.</t>
        </is>
      </c>
      <c r="N19" s="52" t="inlineStr">
        <is>
          <t>Team-selected. Example project titles for this cohort: Real-Time Concentrate Quality Predictor; Lithology Classifier from Well Logs; Mining Equipment Failure Risk Model; Rate-of-Penetration Optimiser; Ore/Waste Classifier with a stated cost of error; Production Decline Forecaster.</t>
        </is>
      </c>
      <c r="O19" s="52" t="inlineStr">
        <is>
          <t>Two individual typed answers about their own repository, submitted with the reflection. Live questions are formative.</t>
        </is>
      </c>
      <c r="P19" s="52" t="inlineStr">
        <is>
          <t>None. Semester 2 pre-reading and an optional holiday challenge are issued for students who want to keep going.</t>
        </is>
      </c>
      <c r="Q19" s="52" t="inlineStr">
        <is>
          <t>—</t>
        </is>
      </c>
      <c r="R19" s="52" t="inlineStr">
        <is>
          <t>ENGINEERING ML PROJECT FINAL SUBMISSION (25%). Demo, viva and reflection (10%).</t>
        </is>
      </c>
      <c r="S19" s="52" t="inlineStr">
        <is>
          <t>Engineering ML Project 25% - rubric: problem definition 15, data understanding 15, methodology 20, engineering reasoning 20, validation 15, communication 10, reproducibility and documentation 5. Demo, typed defence and individual reflection 10%. Peer feedback and live questions are formative; they do not alter assessment marks.</t>
        </is>
      </c>
      <c r="T19" s="52" t="inlineStr">
        <is>
          <t>• Invite Faculty staff and, if possible, one external practising engineer as assessors - it raises the standard of every submission more than any amount of exhortation.
• Prepare two repository-specific written defence prompts and the individual submission form.
• Prepare the peer assessment form and brief students on it in Week 13.
• Book a room configuration that supports a fair: tables around the perimeter, power for every station.
• Prepare the Week 1 promise slide for the closing comparison, and the Semester 2 preview.
• Prepare the reflection prompt and the recognition certificates.</t>
        </is>
      </c>
      <c r="U19" s="52" t="inlineStr">
        <is>
          <t>• Fair-capable room with power at the perimeter; poster stands or tape.
• Invited assessors and printed assessor packs with the rubric.
• Individual written defence submission form and formative peer feedback forms.
• Certificates for the three recognitions.
• Camera to record demos for the programme's own portfolio, with student consent.</t>
        </is>
      </c>
      <c r="V19" s="52" t="inlineStr">
        <is>
          <t>DIVERGENT: project titles and invited assessors (invite a mining or petroleum engineer). SHARED: demo format, viva bank structure, rubric.</t>
        </is>
      </c>
    </row>
  </sheetData>
  <autoFilter ref="A4:V19"/>
  <mergeCells count="2">
    <mergeCell ref="A1:T1"/>
    <mergeCell ref="A2:T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5B6"/>
    <outlinePr summaryBelow="1" summaryRight="1"/>
    <pageSetUpPr fitToPage="0"/>
  </sheetPr>
  <dimension ref="A1:V19"/>
  <sheetViews>
    <sheetView showFormulas="0" showGridLines="1" showRowColHeaders="1" showZeros="1" rightToLeft="0" tabSelected="0" showOutlineSymbols="1" defaultGridColor="1"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35" min="1" max="1"/>
    <col width="28" customWidth="1" style="35" min="2" max="2"/>
    <col width="18" customWidth="1" style="35" min="3" max="3"/>
    <col width="27" customWidth="1" style="35" min="4" max="4"/>
    <col width="9" customWidth="1" style="35" min="5" max="5"/>
    <col width="12" customWidth="1" style="35" min="6" max="6"/>
    <col width="40" customWidth="1" style="35" min="7" max="7"/>
    <col width="34" customWidth="1" style="35" min="8" max="8"/>
    <col width="62" customWidth="1" style="35" min="9" max="9"/>
    <col width="78" customWidth="1" style="35" min="10" max="10"/>
    <col width="56" customWidth="1" style="35" min="11" max="11"/>
    <col width="50" customWidth="1" style="35" min="12" max="12"/>
    <col width="60" customWidth="1" style="35" min="13" max="14"/>
    <col width="56" customWidth="1" style="35" min="15" max="15"/>
    <col width="44" customWidth="1" style="35" min="16" max="16"/>
    <col width="54" customWidth="1" style="35" min="17" max="17"/>
    <col width="40" customWidth="1" style="35" min="18" max="18"/>
    <col width="46" customWidth="1" style="35" min="19" max="19"/>
    <col width="70" customWidth="1" style="35" min="20" max="20"/>
    <col width="52" customWidth="1" style="35" min="21" max="21"/>
    <col width="46" customWidth="1" style="35" min="22" max="22"/>
  </cols>
  <sheetData>
    <row r="1" ht="25.5" customHeight="1" s="36">
      <c r="A1" s="37" t="inlineStr">
        <is>
          <t>Cohort C — Introduction to Machine Learning in Engineering</t>
        </is>
      </c>
    </row>
    <row r="2" ht="18" customHeight="1" s="36">
      <c r="A2" s="38" t="inlineStr">
        <is>
          <t>Communications + Electrical + Mechatronics and Robotics Engineering · ~50 students (est. 11 project teams of 4-5) · one 3-hour session per week · 45 contact hours · FRIDAY 11:00-14:00, Room 115</t>
        </is>
      </c>
    </row>
    <row r="4" ht="43.5" customHeight="1" s="36">
      <c r="A4" s="42" t="inlineStr">
        <is>
          <t>Week</t>
        </is>
      </c>
      <c r="B4" s="42" t="inlineStr">
        <is>
          <t>Block / Phase</t>
        </is>
      </c>
      <c r="C4" s="42" t="inlineStr">
        <is>
          <t>Week commencing</t>
        </is>
      </c>
      <c r="D4" s="42" t="inlineStr">
        <is>
          <t>Session date · time · room</t>
        </is>
      </c>
      <c r="E4" s="42" t="inlineStr">
        <is>
          <t>Cohort</t>
        </is>
      </c>
      <c r="F4" s="42" t="inlineStr">
        <is>
          <t>Course code</t>
        </is>
      </c>
      <c r="G4" s="42" t="inlineStr">
        <is>
          <t>Course title</t>
        </is>
      </c>
      <c r="H4" s="42" t="inlineStr">
        <is>
          <t>Topic</t>
        </is>
      </c>
      <c r="I4" s="42" t="inlineStr">
        <is>
          <t>Learning objectives (by the end of the session, students can…)</t>
        </is>
      </c>
      <c r="J4" s="42" t="inlineStr">
        <is>
          <t>3-hour session structure</t>
        </is>
      </c>
      <c r="K4" s="42" t="inlineStr">
        <is>
          <t>Concepts introduced</t>
        </is>
      </c>
      <c r="L4" s="42" t="inlineStr">
        <is>
          <t>Tools introduced</t>
        </is>
      </c>
      <c r="M4" s="42" t="inlineStr">
        <is>
          <t>Practical / lab</t>
        </is>
      </c>
      <c r="N4" s="42" t="inlineStr">
        <is>
          <t>Dataset(s)</t>
        </is>
      </c>
      <c r="O4" s="42" t="inlineStr">
        <is>
          <t>Interactive challenge</t>
        </is>
      </c>
      <c r="P4" s="42" t="inlineStr">
        <is>
          <t>Assignment (due next session)</t>
        </is>
      </c>
      <c r="Q4" s="42" t="inlineStr">
        <is>
          <t>Weekly quiz (QR, auto-graded)</t>
        </is>
      </c>
      <c r="R4" s="42" t="inlineStr">
        <is>
          <t>Project milestone</t>
        </is>
      </c>
      <c r="S4" s="42" t="inlineStr">
        <is>
          <t>Assessment relevance</t>
        </is>
      </c>
      <c r="T4" s="42" t="inlineStr">
        <is>
          <t>Lecturer preparation</t>
        </is>
      </c>
      <c r="U4" s="42" t="inlineStr">
        <is>
          <t>Required resources</t>
        </is>
      </c>
      <c r="V4" s="42" t="inlineStr">
        <is>
          <t>Shared vs cohort-specific</t>
        </is>
      </c>
    </row>
    <row r="5" ht="219.75" customHeight="1" s="36">
      <c r="A5" s="46" t="n">
        <v>1</v>
      </c>
      <c r="B5" s="47" t="inlineStr">
        <is>
          <t>Block 1 - Orientation &amp; Computational Thinking</t>
        </is>
      </c>
      <c r="C5" s="47" t="inlineStr">
        <is>
          <t>Mon 07 Sep 2026</t>
        </is>
      </c>
      <c r="D5" s="47" t="inlineStr">
        <is>
          <t>Fri 11 Sep 2026
11:00-14:00 · Room 115</t>
        </is>
      </c>
      <c r="E5" s="47" t="inlineStr">
        <is>
          <t>Cohort C</t>
        </is>
      </c>
      <c r="F5" s="47" t="inlineStr">
        <is>
          <t>CML3111</t>
        </is>
      </c>
      <c r="G5" s="47" t="inlineStr">
        <is>
          <t>Introduction to Machine Learning in Engineering</t>
        </is>
      </c>
      <c r="H5" s="47" t="inlineStr">
        <is>
          <t>The engineering problem that needs data</t>
        </is>
      </c>
      <c r="I5" s="47" t="inlineStr">
        <is>
          <t>• Distinguish artificial intelligence, machine learning and data science, and place each in an engineering workflow.
• Contrast rule-based programming (we write the rule) with machine learning (we supply examples and the rule is inferred).
• State three problems in their own discipline that are plausibly ML-tractable, and two that are not, with reasons.
• Classify a problem informally as prediction of a quantity or prediction of a category.
• Explain how the course is assessed and what a finished project looks like.</t>
        </is>
      </c>
      <c r="J5" s="47" t="inlineStr">
        <is>
          <t>• 0:00-0:25  Course contract: the year's arc, the assessment model, the AI-use policy, the promise ('by December you can investigate an engineering dataset unaided').
• 0:25-1:05  Concept, no code: a real engineering question is posed; students attempt it by hand from a 12-row printed data extract; the class discovers it is guessing a pattern from examples. Rules vs learning is named only after they have done it.
• 1:05-1:25  Show the destination: a walkthrough of a completed student-level project (notebook, charts, model, 2-page brief) so the target is concrete from day one.
• 1:25-2:25  CHALLENGE - Problem Hunt. Teams of 4-5 are formed here and stay for the semester. Each team lists 6 problems from their discipline, then sorts them into quantity / category / not-an-ML-problem and must justify every placement.
• 2:25-2:50  Gallery walk. Teams critique two other teams' boards; the lecturer harvests the best problems into a live class list used later for project selection.
• 2:50-3:00  Environment homework issued, team charters signed, class channel joined.
• LAST FIVE MINUTES — QUIZ 1 - what machine learning is. Open the Form, project the QR, give it exactly five minutes, close it, and show the cohort's score distribution before they leave. Worth 1%, best 10 of 12 count, no resits. If the network is down, convert it to a 24-hour link and say so out loud.</t>
        </is>
      </c>
      <c r="K5" s="47" t="inlineStr">
        <is>
          <t>• Data, row, column, feature, target/label.
• Pattern vs rule; interpolation vs extrapolation.
• Prediction vs explanation - and why an engineer usually needs both.
• Regression vs classification (informal, by example only).
• The four honest limits of ML: no data, no signal, physics is better, and the future is not like the past.</t>
        </is>
      </c>
      <c r="L5" s="47" t="inlineStr">
        <is>
          <t>• No installation yet - accounts only, so nobody is blocked by a laptop.
• GitHub account (username convention published).
• Kaggle account.
• Class channel (Teams / WhatsApp) and the shared course drive.
• Framing device used all semester: for every tool we ask 'what problem does this tool solve?'</t>
        </is>
      </c>
      <c r="M5" s="47" t="inlineStr">
        <is>
          <t>Paper-based prediction exercise. Teams receive a 12-row printed extract of the cohort's anchor dataset with the 13th row's target hidden. They predict it, write down the reasoning, then compare with the true value and quantify their own error. This produces the words 'feature', 'target' and 'error' from the students rather than from the lecturer.
COHORT C FRAMING: Framing question for the cohort: 'This machine has four sensors on it. It failed last month. Could we have known?' Second framing question: 'Can we predict the plant's power output from ambient conditions alone?'</t>
        </is>
      </c>
      <c r="N5" s="47" t="inlineStr">
        <is>
          <t>Printed 12-row extract of AI4I 2020 Predictive Maintenance (UCI 601): air and process temperature, rotational speed, torque and tool wear -&gt; machine failure yes or no. Row 13's outcome is withheld. Alternative extract for the electrical stream: Combined Cycle Power Plant (UCI 294) - ambient conditions -&gt; power output.</t>
        </is>
      </c>
      <c r="O5" s="47" t="inlineStr">
        <is>
          <t>Problem Hunt (see structure). Deliberately unguided: no template, no worked example. The lecturer only asks questions.</t>
        </is>
      </c>
      <c r="P5" s="47" t="inlineStr">
        <is>
          <t>A1 (one page): 'Three problems, one dataset' - three candidate ML problems from their discipline, the data each would need, and where that data might come from. PLUS the environment install checklist to be completed before Week 2.</t>
        </is>
      </c>
      <c r="Q5" s="47" t="inlineStr">
        <is>
          <t>QUIZ 1 - what machine learning is
Features and target read off a table, regression told from classification, and one of the four limits applied to a stated situation. This one runs on phones at the end of a paper session, which also gets every student through the QR mechanism once in week one.</t>
        </is>
      </c>
      <c r="R5" s="47" t="inlineStr">
        <is>
          <t>Project teams formed and registered. Team charter signed (roles, contact, meeting slot, conflict rule).</t>
        </is>
      </c>
      <c r="S5" s="47" t="inlineStr">
        <is>
          <t>A1 contributes to Practical Challenges &amp; Assignments (10%). Marked pass / redo - the point is engagement, not polish.</t>
        </is>
      </c>
      <c r="T5" s="47" t="inlineStr">
        <is>
          <t>• Print the 12-row dataset extracts (one per team) and the Problem Hunt board sheets.
• Build and rehearse the demonstration project that will be shown at 1:05.
• Create the GitHub organisation / GitHub Classroom and publish the username convention.
• Prepare the install guide PDF and the BYOD/laptop-access survey.
• Pre-allocate teams from the class roster to avoid 25 minutes of milling.
• COHORT C: Problem Hunt prompt cards for sensors, signals, energy systems, fault detection, predictive maintenance, communications, robotics and anomaly detection.</t>
        </is>
      </c>
      <c r="U5" s="47" t="inlineStr">
        <is>
          <t>• Projector, whiteboard, marker pens, flipchart or A3 sheets.
• Printed dataset extracts, printed install guide, printed course outline.
• Laptop-access survey (paper, for 100% return).
• No student computers required this week - by design.</t>
        </is>
      </c>
      <c r="V5" s="47" t="inlineStr">
        <is>
          <t>DIVERGENT: anchor dataset, framing questions, Problem Hunt prompts. SHARED: everything else.</t>
        </is>
      </c>
    </row>
    <row r="6" ht="219.75" customHeight="1" s="36">
      <c r="A6" s="48" t="n">
        <v>2</v>
      </c>
      <c r="B6" s="49" t="inlineStr">
        <is>
          <t>Block 1 - Orientation &amp; Computational Thinking</t>
        </is>
      </c>
      <c r="C6" s="49" t="inlineStr">
        <is>
          <t>Mon 14 Sep 2026</t>
        </is>
      </c>
      <c r="D6" s="49" t="inlineStr">
        <is>
          <t>Fri 18 Sep 2026
11:00-14:00 · Room 115</t>
        </is>
      </c>
      <c r="E6" s="49" t="inlineStr">
        <is>
          <t>Cohort C</t>
        </is>
      </c>
      <c r="F6" s="49" t="inlineStr">
        <is>
          <t>CML3111</t>
        </is>
      </c>
      <c r="G6" s="49" t="inlineStr">
        <is>
          <t>Introduction to Machine Learning in Engineering</t>
        </is>
      </c>
      <c r="H6" s="49" t="inlineStr">
        <is>
          <t>Colab notebooks and version control</t>
        </is>
      </c>
      <c r="I6" s="49" t="inlineStr">
        <is>
          <t>• Open and run a notebook in Colab.
• Explain cells, kernel state and Restart and Run All.
• Read error messages and repair four simple failures.
• Create a GitHub repository and save a notebook with a useful commit message.</t>
        </is>
      </c>
      <c r="J6" s="49" t="inlineStr">
        <is>
          <t>• 0:00-0:30 Recall and tool map.
• 0:30-1:40 Notebook practical and execution order.
• 1:40-1:50 Break.
• 1:50-2:40 Git explanation and repository practical.
• 2:40-2:50 Break and Fix in groups; finish repairs after class.
• 2:50-2:55 Five-question quiz.
• 2:55-3:00 A2 and exit check.
• LAST FIVE MINUTES — QUIZ 2 - notebooks and version control. Open the Form, project the QR, give it exactly five minutes, close it, and show the cohort's score distribution before they leave. Worth 1%, best 10 of 12 count, no resits. If the network is down, convert it to a 24-hour link and say so out loud.</t>
        </is>
      </c>
      <c r="K6" s="49" t="inlineStr">
        <is>
          <t>• Cell, kernel, hidden state and reproducibility.
• Working directory and relative path.
• Repository, staging, commit, push and README.</t>
        </is>
      </c>
      <c r="L6" s="49" t="inlineStr">
        <is>
          <t>• Google Colab is the primary route.
• GitHub stores the work and its history.
• Pre-provisioned Jupyter lab machines are the connection fallback.</t>
        </is>
      </c>
      <c r="M6" s="49" t="inlineStr">
        <is>
          <t>Use setup/&lt;cohort&gt;/proof_of_life.ipynb and its four-row CSV. Run, predict repeated execution, restart and run all, then save to GitHub.</t>
        </is>
      </c>
      <c r="N6" s="49" t="inlineStr">
        <is>
          <t>None. A single small CSV is opened only to prove the environment works.</t>
        </is>
      </c>
      <c r="O6" s="49" t="inlineStr">
        <is>
          <t>Repair the four supplied notebooks: unavailable import, wrong Python-version expectation, wrong path and hidden state. Explain each cause in one sentence.</t>
        </is>
      </c>
      <c r="P6" s="49" t="inlineStr">
        <is>
          <t>A2 Proof of Life: submit the repository URL and named notebook through the assignment form. Upload the README; keep the CSV in your repository. See setup/A2_assignment_brief.md. Due at the start of Week 3.</t>
        </is>
      </c>
      <c r="Q6" s="49" t="inlineStr">
        <is>
          <t>QUIZ 2 - notebooks and version control
Out-of-order execution diagnosed from a cell-numbering trace, what Restart and Run All proves, and reading one git status output. A2 separately checks readiness for Week 3.</t>
        </is>
      </c>
      <c r="R6" s="49" t="inlineStr">
        <is>
          <t>Each student has a working notebook and repository. Team collaboration continues from Week 1.</t>
        </is>
      </c>
      <c r="S6" s="49" t="inlineStr">
        <is>
          <t>A2 is one of eleven challenges, best eight contributing 10%. The Week 2 quiz is one of twelve quizzes, best ten contributing 10%.</t>
        </is>
      </c>
      <c r="T6" s="49" t="inlineStr">
        <is>
          <t>• Rehearse Colab sign-in and the lab fallback with a student account.
• Distribute the small cohort ZIP from setup/ before class.
• Run setup/check_setup.py on lab machines.
• Check the Week 2 form and displayed deadline. Brief floor helpers.</t>
        </is>
      </c>
      <c r="U6" s="49" t="inlineStr">
        <is>
          <t>• Laptop or provisioned lab computer, charger, cohort ZIP and a printed copy of setup/README.md.
• USB/local-share copy for connection outages.</t>
        </is>
      </c>
      <c r="V6" s="49" t="inlineStr">
        <is>
          <t>Largely shared — check the Shared vs Divergent sheet.</t>
        </is>
      </c>
    </row>
    <row r="7" ht="219.75" customHeight="1" s="36">
      <c r="A7" s="46" t="n">
        <v>3</v>
      </c>
      <c r="B7" s="47" t="inlineStr">
        <is>
          <t>Block 1 - Orientation &amp; Computational Thinking</t>
        </is>
      </c>
      <c r="C7" s="47" t="inlineStr">
        <is>
          <t>Mon 21 Sep 2026</t>
        </is>
      </c>
      <c r="D7" s="47" t="inlineStr">
        <is>
          <t>Fri 25 Sep 2026
11:00-14:00 · Room 115</t>
        </is>
      </c>
      <c r="E7" s="47" t="inlineStr">
        <is>
          <t>Cohort C</t>
        </is>
      </c>
      <c r="F7" s="47" t="inlineStr">
        <is>
          <t>CML3111</t>
        </is>
      </c>
      <c r="G7" s="47" t="inlineStr">
        <is>
          <t>Introduction to Machine Learning in Engineering</t>
        </is>
      </c>
      <c r="H7" s="47" t="inlineStr">
        <is>
          <t>Python as an engineering calculator</t>
        </is>
      </c>
      <c r="I7" s="47" t="inlineStr">
        <is>
          <t>• Use variables, numeric and string types, and operators correctly, including integer vs float division.
• Write conditional logic that implements an engineering decision rule.
• Define and call a function with parameters, a return value and a docstring.
• Convert a formula from their own discipline into a tested function.
• Read a Python traceback and locate the offending line.
• Check unit consistency and reject a numerically valid but physically wrong answer.</t>
        </is>
      </c>
      <c r="J7" s="47" t="inlineStr">
        <is>
          <t>• 0:00-0:30  Concept driven by a formula the students already know from their own programme. The formula is written on the board first; Python notation is introduced only as a way of writing it down.
• 0:30-0:55  Live coding: the same formula becomes a function with parameters, a return value, a docstring and two test values. The lecturer makes one deliberate unit error and lets the class catch it.
• 0:55-2:05  PRACTICAL - Discipline Function Library. Each student writes five functions from their own field, each with a docstring, stated units and two test values with expected answers.
• 2:05-2:40  CHALLENGE - Wrong Answer Hunt. Six functions are supplied that all run without error but return wrong answers: integer division, operator precedence, degrees vs radians, a mis-set if/elif boundary, a mutated input, and a unit mismatch. Teams must find, name and fix all six.
• 2:40-3:00  Debugger demonstration (breakpoint, step, inspect a variable) and assignment issued.
• LAST FIVE MINUTES — QUIZ 3 - Python as an engineering calculator. Open the Form, project the QR, give it exactly five minutes, close it, and show the cohort's score distribution before they leave. Worth 1%, best 10 of 12 count, no resits. If the network is down, convert it to a 24-hour link and say so out loud.</t>
        </is>
      </c>
      <c r="K7" s="47" t="inlineStr">
        <is>
          <t>• int, float, str, bool; casting; integer vs true division.
• Operator precedence; comparison and logical operators.
• if / elif / else as an encoded engineering decision rule.
• Function definition, parameters, arguments, return vs print, local scope.
• Docstrings and self-documenting code; units as part of the interface.
• Traceback anatomy; assertion as a cheap test.</t>
        </is>
      </c>
      <c r="L7" s="47" t="inlineStr">
        <is>
          <t>• Jupyter and VS Code (both, so the choice becomes a habit not a mystery).
• The VS Code debugger: breakpoint, step over, inspect variables.
• Git: a commit per working function, so history shows the build.
• AI assistant, first supervised use: students may ask it to EXPLAIN an error message, but not to write a function. The distinction is enforced and discussed.</t>
        </is>
      </c>
      <c r="M7" s="47" t="inlineStr">
        <is>
          <t>Discipline Function Library (see structure), committed to the team repository as functions.py plus a notebook that imports and demonstrates it. Core tier: 5 working functions. Stretch tier: add input validation that raises a clear error for physically impossible inputs.
COHORT C FRAMING: Formula set: Ohm's law and electrical power; three-phase real power with a power factor; motor torque and the conversion from revolutions per minute to radians per second; gear ratio and output speed; decibel conversion; RC time constant; and root-mean-square of a sampled signal.</t>
        </is>
      </c>
      <c r="N7" s="47" t="inlineStr">
        <is>
          <t>No dataset - formula-driven.</t>
        </is>
      </c>
      <c r="O7" s="47" t="inlineStr">
        <is>
          <t>Wrong Answer Hunt - six silently wrong functions. Chosen because 'it ran, therefore it is right' is the single most dangerous belief a beginner can form, and it is fatal later in model evaluation.</t>
        </is>
      </c>
      <c r="P7" s="47" t="inlineStr">
        <is>
          <t>A3: complete the five tasks in practicals/W03/&lt;cohort&gt;/W03_student.ipynb. The broader function library is practice. Submit the named notebook through the assignment form.</t>
        </is>
      </c>
      <c r="Q7" s="47" t="inlineStr">
        <is>
          <t>QUIZ 3 - Python as an engineering calculator
A unit error that returns a plausible wrong number, a function that returns nothing because it prints instead, an if-chain whose branches are in the wrong order, and one traceback.</t>
        </is>
      </c>
      <c r="R7" s="47" t="inlineStr">
        <is>
          <t>Team repository has a working code file and a commit history with more than one contributor.</t>
        </is>
      </c>
      <c r="S7" s="47" t="inlineStr">
        <is>
          <t>A3 contributes to Practical Challenges &amp; Assignments (10%). Function-writing and traceback-reading are directly examined in Practical Test 1 (Week 7).</t>
        </is>
      </c>
      <c r="T7" s="47" t="inlineStr">
        <is>
          <t>• Write the cohort-specific formula set and confirm every formula against a textbook or standard - a wrong formula here destroys credibility.
• Author the six Wrong Answer Hunt functions and a marking key naming each bug.
• Prepare a worked solution to the function library at both core and stretch tiers.
• Prepare the debugger demonstration and rehearse it - a fumbled debugger demo teaches students to avoid the debugger.</t>
        </is>
      </c>
      <c r="U7" s="47" t="inlineStr">
        <is>
          <t>• Computers, projector, printed formula sheet for the cohort.
• Printed Python syntax cheat sheet (one page, both sides).
• Wrong Answer Hunt notebook distributed offline via USB or the network share.</t>
        </is>
      </c>
      <c r="V7" s="47" t="inlineStr">
        <is>
          <t>DIVERGENT: the six formulas and the Wrong Answer Hunt traps (degrees vs radians, RPM vs rad/s, power vs apparent power, dB vs linear). SHARED: all concepts and structure.</t>
        </is>
      </c>
    </row>
    <row r="8" ht="219.75" customHeight="1" s="36">
      <c r="A8" s="48" t="n">
        <v>4</v>
      </c>
      <c r="B8" s="49" t="inlineStr">
        <is>
          <t>Block 1 - Orientation &amp; Computational Thinking</t>
        </is>
      </c>
      <c r="C8" s="49" t="inlineStr">
        <is>
          <t>Mon 28 Sep 2026</t>
        </is>
      </c>
      <c r="D8" s="49" t="inlineStr">
        <is>
          <t>Fri 02 Oct 2026
11:00-14:00 · Room 115</t>
        </is>
      </c>
      <c r="E8" s="49" t="inlineStr">
        <is>
          <t>Cohort C</t>
        </is>
      </c>
      <c r="F8" s="49" t="inlineStr">
        <is>
          <t>CML3111</t>
        </is>
      </c>
      <c r="G8" s="49" t="inlineStr">
        <is>
          <t>Introduction to Machine Learning in Engineering</t>
        </is>
      </c>
      <c r="H8" s="49" t="inlineStr">
        <is>
          <t>Python for problem solving: collections, loops and files</t>
        </is>
      </c>
      <c r="I8" s="49" t="inlineStr">
        <is>
          <t>• Choose between a list and a dictionary for a given engineering record and justify the choice.
• Iterate over a collection with for and while, using the accumulator pattern.
• Read a CSV file and compute summary statistics without any data-science library.
• Catch and interpret exceptions, and fail informatively rather than silently.
• Decompose an open-ended data question into an ordered sequence of steps before writing code.
• Report a finding from data they were given no instructions about.</t>
        </is>
      </c>
      <c r="J8" s="49" t="inlineStr">
        <is>
          <t>• 0:00-0:25  Concept: loops as 'do this to every measurement'. The motivating problem is 4,000 sensor readings and a question that cannot be answered by hand.
• 0:25-0:50  Demonstration: open a real CSV with open() and the csv module; compute count, mean, min, max; count out-of-range values. Deliberately done the hard way - this is the pain that makes pandas welcome in Week 5.
• 0:50-2:00  PRACTICAL - Reading Report. Students build a script that ingests a data file and writes a plain-text summary: per-column count/mean/min/max, number of out-of-range values against a stated engineering limit, and the number of rows it had to skip because they were malformed.
• 2:00-2:40  INVESTIGATION LAB 1 - 'Find something interesting'. Teams receive an unfamiliar ~300-row file with no instructions, no column dictionary and no suggested method. The lecturer circulates and asks questions only.
• 2:40-3:00  Sixty-second findings pitch per team, then assignment issued.
• LAST FIVE MINUTES — QUIZ 4 - collections, loops and files. Open the Form, project the QR, give it exactly five minutes, close it, and show the cohort's score distribution before they leave. Worth 1%, best 10 of 12 count, no resits. If the network is down, convert it to a 24-hour link and say so out loud.</t>
        </is>
      </c>
      <c r="K8" s="49" t="inlineStr">
        <is>
          <t>• List, tuple, dictionary; indexing and slicing; nesting.
• for and while; the accumulator pattern; early exit.
• File I/O; delimiters; header rows; string-to-number conversion.
• try / except; exception types; failing loudly.
• Algorithmic decomposition: question -&gt; steps -&gt; code.
• The idea of a data dictionary, met by feeling its absence.</t>
        </is>
      </c>
      <c r="L8" s="49" t="inlineStr">
        <is>
          <t>• The csv module and open() - deliberately no pandas yet.
• The VS Code debugger on a loop, to watch an accumulator fill.
• Git: incremental commits during the build.</t>
        </is>
      </c>
      <c r="M8" s="49" t="inlineStr">
        <is>
          <t>Reading Report script (see structure). Core tier: handle a clean file. Stretch tier: survive a file containing blank lines, a stray text value in a numeric column and a duplicated header row - which is exactly what Week 6 formalises.</t>
        </is>
      </c>
      <c r="N8" s="49" t="inlineStr">
        <is>
          <t>COURSE-AUTHORED: 'motor_test_bench.csv' (~300 rows) - a fictional but realistic bench log with motor ID, supply voltage, current, RPM, winding temperature, vibration RMS and a pass/fail flag. Contains one genuine finding (one motor or one voltage condition with systematically higher temperature rise), two red herrings and realistic dirt.</t>
        </is>
      </c>
      <c r="O8" s="49" t="inlineStr">
        <is>
          <t>INVESTIGATION LAB 1 - the first fully unguided session. The lecturer's only permitted moves are the question bank: What are you trying to find? Why that column? What does that number mean physically? How would you know if you were wrong? Students must produce a claim and the evidence for it.</t>
        </is>
      </c>
      <c r="P8" s="49" t="inlineStr">
        <is>
          <t>A4: the Reading Report notebook with four automatically checked summaries. See practicals/W04/&lt;cohort&gt;/README.md. The 150-word interpretation is formative practice.</t>
        </is>
      </c>
      <c r="Q8" s="49" t="inlineStr">
        <is>
          <t>QUIZ 4 - collections, loops and files
An accumulator reset inside the loop, a range off-by-one, a value read from a file as a string, and a skipped-row count that was never reported.</t>
        </is>
      </c>
      <c r="R8" s="49" t="inlineStr">
        <is>
          <t>Each team submits a one-paragraph statement of the kind of engineering problem it wants to work on for the semester (not yet a dataset).</t>
        </is>
      </c>
      <c r="S8" s="49" t="inlineStr">
        <is>
          <t>A4 contributes to Practical Challenges &amp; Assignments (10%). Investigation Lab 1 is the direct rehearsal for Practical Test 1 in Week 7 and establishes the no-spoon-feeding norm.</t>
        </is>
      </c>
      <c r="T8" s="49" t="inlineStr">
        <is>
          <t>• AUTHOR the ~300-row Investigation Lab file: it must contain one genuine, findable, discipline-relevant story plus two red herrings and some realistic dirt. Build a lecturer key listing every finding a good team could reach.
• Prepare the question bank as a printed card to carry while circulating - it prevents the lecturer from accidentally giving answers.
• Prepare the malformed-file variant for the stretch tier.
• Brief floor helpers that they must ask questions, not fix code.</t>
        </is>
      </c>
      <c r="U8" s="49" t="inlineStr">
        <is>
          <t>• Computers, the Investigation Lab data file distributed offline.
• Printed question-bank cards.
• Timer visible to the room - the pitch round must not overrun.
• Flipchart for the findings pitches.</t>
        </is>
      </c>
      <c r="V8" s="49" t="inlineStr">
        <is>
          <t>DIVERGENT: the Investigation Lab file and its planted story. SHARED: all Python content.</t>
        </is>
      </c>
    </row>
    <row r="9" ht="219.75" customHeight="1" s="36">
      <c r="A9" s="51" t="n">
        <v>5</v>
      </c>
      <c r="B9" s="52" t="inlineStr">
        <is>
          <t>Block 2 - Engineering Data</t>
        </is>
      </c>
      <c r="C9" s="52" t="inlineStr">
        <is>
          <t>Mon 05 Oct 2026</t>
        </is>
      </c>
      <c r="D9" s="52" t="inlineStr">
        <is>
          <t>Fri 09 Oct 2026
11:00-14:00 · Room 115</t>
        </is>
      </c>
      <c r="E9" s="52" t="inlineStr">
        <is>
          <t>Cohort C</t>
        </is>
      </c>
      <c r="F9" s="52" t="inlineStr">
        <is>
          <t>CML3111</t>
        </is>
      </c>
      <c r="G9" s="52" t="inlineStr">
        <is>
          <t>Introduction to Machine Learning in Engineering</t>
        </is>
      </c>
      <c r="H9" s="52" t="inlineStr">
        <is>
          <t>NumPy and pandas: the engineer's data table, and where data comes from</t>
        </is>
      </c>
      <c r="I9" s="52" t="inlineStr">
        <is>
          <t>• Create arrays and perform vectorised arithmetic, and explain why it replaces an explicit loop.
• Load a CSV into a DataFrame and profile it with shape, dtypes, info, head and describe.
• Select rows and columns with .loc and .iloc and filter with boolean conditions.
• Group and aggregate to answer a comparison question.
• Create a derived column that encodes engineering knowledge.
• Find a dataset on Kaggle or the UCI repository, read its documentation, and state its provenance, licence and limitations before using it.</t>
        </is>
      </c>
      <c r="J9" s="52" t="inlineStr">
        <is>
          <t>• 0:00-0:25  Concept: the Week 4 Reading Report is rewritten in four lines of pandas, side by side with the 60-line version. The case for the tool is made by the tool.
• 0:25-0:55  Demonstration on the cohort anchor dataset: load, profile, select, filter, group, derive, save.
• 0:55-2:00  PRACTICAL - Twelve Questions. A guided interrogation of the anchor dataset: twelve real engineering questions, each answerable in one to four lines of pandas. Answers must be stated in physical units, not as raw output.
• 2:00-2:20  Where data comes from: Kaggle, UCI, government and open engineering repositories. How to read a dataset card; licence, provenance, collection method, and the question 'can this data actually answer my question?'
• 2:20-2:45  CHALLENGE - Ten Questions, No Help. Teams get an unfamiliar dataset and 25 minutes to answer ten questions. No lecturer assistance, no internet search of the answers.
• 2:45-3:00  DATA ANALYSIS PROJECT brief released (due Week 8).
• LAST FIVE MINUTES — QUIZ 5 - pandas and judging a dataset. Open the Form, project the QR, give it exactly five minutes, close it, and show the cohort's score distribution before they leave. Worth 1%, best 10 of 12 count, no resits. If the network is down, convert it to a 24-hour link and say so out loud.</t>
        </is>
      </c>
      <c r="K9" s="52" t="inlineStr">
        <is>
          <t>• ndarray, vectorisation, elementwise operations, broadcasting (light).
• DataFrame, Series, index, dtype.
• .loc vs .iloc; boolean masking; chained conditions.
• groupby and aggregation; sorting; value_counts.
• Derived / engineered columns.
• Dataset provenance, licence, collection method, fitness for purpose.</t>
        </is>
      </c>
      <c r="L9" s="52" t="inlineStr">
        <is>
          <t>• NumPy.
• pandas.
• Kaggle (search, dataset cards, download, public notebooks as worked examples).
• UCI Machine Learning Repository and the ucimlrepo package.
• Jupyter as the primary surface from this week onward.</t>
        </is>
      </c>
      <c r="M9" s="52" t="inlineStr">
        <is>
          <t>Twelve Questions interrogation notebook on the anchor dataset (see structure). Core tier: answer all twelve. Stretch tier: add two questions of their own and answer them.
COHORT C FRAMING: The twelve questions include: how does power output vary with ambient temperature band; which variable is most strongly associated with output; what is the distribution of exhaust vacuum; do high-humidity hours behave differently; and for AI4I, what is the failure rate by product quality variant and by tool wear band.</t>
        </is>
      </c>
      <c r="N9" s="52" t="inlineStr">
        <is>
          <t>ANCHOR: Combined Cycle Power Plant (UCI 294, 9,568 rows, ambient temperature, pressure, humidity and exhaust vacuum -&gt; net hourly power output). SECONDARY: AI4I 2020 Predictive Maintenance (UCI 601, CC BY 4.0, 10,000 rows) for the sensor and maintenance framing.</t>
        </is>
      </c>
      <c r="O9" s="52" t="inlineStr">
        <is>
          <t>Ten Questions, No Help - a timed, unassisted interrogation of an unfamiliar dataset. Directly calibrates students against the Week 7 test format.</t>
        </is>
      </c>
      <c r="P9" s="52" t="inlineStr">
        <is>
          <t>A5: complete the six automatically checked campus-energy tasks in practicals/W05/&lt;cohort&gt;/W05_student.ipynb. The Twelve Questions anchor-data investigation remains practice.</t>
        </is>
      </c>
      <c r="Q9" s="52" t="inlineStr">
        <is>
          <t>QUIZ 5 - pandas and judging a dataset
A mask confused with a filtered frame, a groupby result whose shape is misread, a dtype of 'object' on a numeric column, and one question on where a dataset came from.</t>
        </is>
      </c>
      <c r="R9" s="52" t="inlineStr">
        <is>
          <t>DATA ANALYSIS PROJECT launched. Each team selects a dataset from the approved list (or proposes one for approval), and registers the engineering question it will answer.</t>
        </is>
      </c>
      <c r="S9" s="52" t="inlineStr">
        <is>
          <t>A5 contributes to Practical Challenges &amp; Assignments (10%). The Data Analysis Project is 10% in its own right. pandas fluency is the core of Practical Test 1 (Week 7).</t>
        </is>
      </c>
      <c r="T9" s="52" t="inlineStr">
        <is>
          <t>• MITIGATION REQUIRED for the Friday cohorts: Fri 09 Oct 2026 is Uganda Independence Day. Publish this session as a recorded walkthrough plus the Twelve Questions notebook by Wed 07 Oct, hold a 45-minute online clinic, and open Week 6 with a 30-minute consolidation. Alternatively secure a Faculty-approved make-up slot.
• Prepare the side-by-side loops-vs-pandas comparison.
• Author the Twelve Questions with a marked-up solution and expected physical units.
• Assemble the approved dataset list for the Data Analysis Project, with every link verified in the week of use.
• Pre-download all datasets to the network share - do not rely on Kaggle being reachable in class.</t>
        </is>
      </c>
      <c r="U9" s="52" t="inlineStr">
        <is>
          <t>• Computers; datasets pre-staged offline; pandas cheat sheet (printed).
• Recording equipment / screen capture for the Friday-cohort mitigation package.
• Approved dataset list handout with licences stated.
• Data Analysis Project brief and rubric (published, not summarised verbally).</t>
        </is>
      </c>
      <c r="V9" s="52" t="inlineStr">
        <is>
          <t>DIVERGENT: anchor dataset and the twelve questions. SHARED: all pandas and NumPy content and the sourcing segment.</t>
        </is>
      </c>
    </row>
    <row r="10" ht="219.75" customHeight="1" s="36">
      <c r="A10" s="48" t="n">
        <v>6</v>
      </c>
      <c r="B10" s="49" t="inlineStr">
        <is>
          <t>Block 2 - Engineering Data</t>
        </is>
      </c>
      <c r="C10" s="49" t="inlineStr">
        <is>
          <t>Mon 12 Oct 2026</t>
        </is>
      </c>
      <c r="D10" s="49" t="inlineStr">
        <is>
          <t>Fri 16 Oct 2026
11:00-14:00 · Room 115</t>
        </is>
      </c>
      <c r="E10" s="49" t="inlineStr">
        <is>
          <t>Cohort C</t>
        </is>
      </c>
      <c r="F10" s="49" t="inlineStr">
        <is>
          <t>CML3111</t>
        </is>
      </c>
      <c r="G10" s="49" t="inlineStr">
        <is>
          <t>Introduction to Machine Learning in Engineering</t>
        </is>
      </c>
      <c r="H10" s="49" t="inlineStr">
        <is>
          <t>Dirty data, and seeing it: data quality through visualisation</t>
        </is>
      </c>
      <c r="I10" s="49" t="inlineStr">
        <is>
          <t>• Profile a dataset for missing values, duplicates, impossible values, wrong data types and outliers.
• Choose and justify a handling strategy for each defect, and state its effect on the conclusion.
• Produce histograms, box plots, scatter plots, line charts and a correlation heatmap, correctly labelled with units.
• Use a chart as an instrument of detection, not decoration - every chart answers a stated question.
• Distinguish a measurement error from a real and physically interesting extreme value.
• Write a short data quality statement for a dataset.</t>
        </is>
      </c>
      <c r="J10" s="49" t="inlineStr">
        <is>
          <t>• 0:00-0:15  Recall. Friday cohorts instead use 0:00-0:30 for Week 5 consolidation.
• 0:15-0:30  Why data defects matter (Friday 0:30-0:45).
• 0:30-0:55  Six defect classes and plausible causes (Friday 0:45-1:10).
• 0:55-1:20  Charts that find problems (Friday 1:10-1:20, using prepared examples).
• 1:20-1:30  Break, all cohorts.
• 1:30-2:05  PRACTICAL: Data Clinic. Find defects, apply a defensible handling strategy and justify each decision. Same 35 minutes for every cohort.
• 2:05-2:20  Frame the difference between measurement error and real behaviour.
• 2:20-2:40  Outlier Argument: discuss five flagged values, including two ambiguous cases.
• 2:40-3:00  Synthesis, Test 1 briefing, weekly assignment instructions and five-minute quiz.
• LAST FIVE MINUTES — QUIZ 6 - dirty data, and seeing it. Open the Form, project the QR, give it exactly five minutes, close it, and show the cohort's score distribution before they leave. Worth 1%, best 10 of 12 count, no resits. If the network is down, convert it to a 24-hour link and say so out loud.</t>
        </is>
      </c>
      <c r="K10" s="49" t="inlineStr">
        <is>
          <t>• Missingness: absent, zero-coded, sentinel-coded (-999), and missing-not-at-random.
• Deletion vs imputation (mean, median, forward-fill) and what each assumes.
• Duplicates: exact and near.
• Impossible values and physical range checks.
• Outliers: IQR and z-score screening, and their limits.
• dtype repair; dates and categories.
• Chart grammar: axis labels, units, titles as questions, no chartjunk.
• Correlation, its coefficient, and the reasons it misleads.</t>
        </is>
      </c>
      <c r="L10" s="49" t="inlineStr">
        <is>
          <t>• matplotlib (figure, axes, labels, saving).
• seaborn (histplot, boxplot, scatterplot, heatmap, pairplot).
• pandas: isna, duplicated, clip, astype, fillna, dropna, describe.
• AI assistant, supervised use 2: students may ask for three alternative approaches to a cleaning problem with trade-offs - and must then choose and defend one themselves.</t>
        </is>
      </c>
      <c r="M10" s="49" t="inlineStr">
        <is>
          <t>Data Clinic on a damaged dataset (see structure). Deliverable: a cleaning notebook, a defect register table, and a five-line data quality statement. Core tier: find and fix the six planted defects. Stretch tier: quantify how much the headline conclusion changes under two different cleaning strategies.
COHORT C FRAMING: Outlier Argument cases from electrical and mechatronic reality: a current spike at motor start-up, a winding temperature of 200 degrees, a vibration reading of exactly zero for six hours, a negative power reading, and an RPM value of 30,000.</t>
        </is>
      </c>
      <c r="N10" s="49" t="inlineStr">
        <is>
          <t>COURSE-AUTHORED damaged variant of the Combined Cycle or AI4I dataset, plus a fictional 'sensor_stream.csv' with sensor dropouts coded as zero, stuck-at values, a timestamp gap, duplicated logger exports, and two genuinely arguable extremes (a real transient during a start-up and a suspected sensor fault).</t>
        </is>
      </c>
      <c r="O10" s="49" t="inlineStr">
        <is>
          <t>The Outlier Argument - forces a judgement call with no lookup answer, and rewards domain reasoning over technique.</t>
        </is>
      </c>
      <c r="P10" s="49" t="inlineStr">
        <is>
          <t>A6 / W06: use the issued cohort notebook and TASKS.md in assessment_banks/W06. Complete the cleaning, summary and audit interfaces plus the designated written-evidence cell. The broader Data Clinic and project work are practice and project development.</t>
        </is>
      </c>
      <c r="Q10" s="49" t="inlineStr">
        <is>
          <t>QUIZ 6 - dirty data, and seeing it
A zero-coded missing value, a chart that does not answer the stated question, and an extreme value that has to be judged as an error or a real measurement.</t>
        </is>
      </c>
      <c r="R10" s="49" t="inlineStr">
        <is>
          <t>Data Analysis Project: cleaned dataset and at least four question-driven charts committed to the repository.</t>
        </is>
      </c>
      <c r="S10" s="49" t="inlineStr">
        <is>
          <t>A6 contributes to Practical Challenges &amp; Assignments (10%). Cleaning judgement and chart quality are 40% of the Practical Test 1 rubric.</t>
        </is>
      </c>
      <c r="T10" s="49" t="inlineStr">
        <is>
          <t>• AUTHOR the damaged dataset: six planted defects, documented in a lecturer key, plus two ambiguous extremes with no clean answer.
• Select the five values for The Outlier Argument so that two are genuinely arguable, and prepare the domain reasoning for each.
• Prepare 'good chart / bad chart' pairs from the cohort's own domain for the chart grammar section.
• For the Friday cohorts, open with the 30-minute Week 5 consolidation - budget it in and cut the demonstration accordingly.
• Publish the Practical Test 1 format and rubric this week. Students must never meet a rubric for the first time in the test.</t>
        </is>
      </c>
      <c r="U10" s="49" t="inlineStr">
        <is>
          <t>• Computers; the damaged dataset offline; seaborn/matplotlib cheat sheet.
• Printed defect register template.
• Practical Test 1 information sheet and rubric for distribution.
• Colour printing or a good projector for the chart-quality comparison.</t>
        </is>
      </c>
      <c r="V10" s="49" t="inlineStr">
        <is>
          <t>DIVERGENT: the damaged dataset and the five outlier cases. The 'stuck-at-zero sensor' case is emphasised for this cohort because it is the defect they will meet most often in practice. SHARED: all cleaning and visualisation content.</t>
        </is>
      </c>
    </row>
    <row r="11" ht="219.75" customHeight="1" s="36">
      <c r="A11" s="53" t="n">
        <v>7</v>
      </c>
      <c r="B11" s="54" t="inlineStr">
        <is>
          <t>ASSESSMENT WEEK 1</t>
        </is>
      </c>
      <c r="C11" s="54" t="inlineStr">
        <is>
          <t>Mon 19 Oct 2026</t>
        </is>
      </c>
      <c r="D11" s="54" t="inlineStr">
        <is>
          <t>Fri 23 Oct 2026
11:00-14:00 · Room 115</t>
        </is>
      </c>
      <c r="E11" s="54" t="inlineStr">
        <is>
          <t>Cohort C</t>
        </is>
      </c>
      <c r="F11" s="54" t="inlineStr">
        <is>
          <t>CML3111</t>
        </is>
      </c>
      <c r="G11" s="54" t="inlineStr">
        <is>
          <t>Introduction to Machine Learning in Engineering</t>
        </is>
      </c>
      <c r="H11" s="54" t="inlineStr">
        <is>
          <t>PRACTICAL TEST 1 - Data Investigation (individual, offline)</t>
        </is>
      </c>
      <c r="I11" s="54" t="inlineStr">
        <is>
          <t>• Independently investigate an unfamiliar engineering dataset under time pressure.
• Profile, clean and justify, without a prescribed method.
• Answer stated questions with evidence and correct units.
• Produce charts that answer questions.
• Draw an engineering conclusion and state what further data would be needed.
• Explain their own reasoning in typed offline responses, without executing code or using AI.</t>
        </is>
      </c>
      <c r="J11" s="54" t="inlineStr">
        <is>
          <t>• 0:00-0:15  Seating, machine allocation, dataset variant distribution, rules read aloud, offline mode confirmed.
• 0:15-2:15  TEST, PART A (practical, 2 hours). Individual. An unfamiliar dataset from the cohort's domain plus a task sheet: load and profile; identify and handle defects with a written justification for each; answer three stated engineering questions with evidence; produce three charts, each captioned with the question it answers; list five findings; make one engineering recommendation.
• 2:15-2:40  TEST, PART B (written reasoning, 25 minutes, typed offline responses only; no code execution). Four short questions on their own submission: why that cleaning decision, what the chart does not show, what would change the conclusion, and what data is missing.
• 2:40-3:00  Collection, checksum of submissions, immediate structural check, dismissal.</t>
        </is>
      </c>
      <c r="K11" s="54" t="inlineStr">
        <is>
          <t>• No new concepts. Weeks 1-6 are examined: pandas, cleaning judgement, visualisation, engineering interpretation.
• Examined implicitly: the ability to proceed without instructions.</t>
        </is>
      </c>
      <c r="L11" s="54" t="inlineStr">
        <is>
          <t>• Permitted: Python, VS Code or Jupyter, pandas, NumPy, matplotlib, seaborn, and an OFFLINE documentation bundle.
• Prohibited: internet access, AI assistants, messaging and shared drives. Use the invigilated offline lab and approved-materials checks; offline access alone does not prevent a local AI assistant.
• Rationale published to students in Week 6: AI is permitted and encouraged in projects, where the work is explained and defended; it is excluded from the two tests, which certify unaided capability.</t>
        </is>
      </c>
      <c r="M11" s="54" t="inlineStr">
        <is>
          <t>The test is the practical. Duration 2h00 practical + 0h25 written. Three parallel dataset variants are issued in a checkerboard seating pattern to remove any benefit from collusion.</t>
        </is>
      </c>
      <c r="N11" s="54" t="inlineStr">
        <is>
          <t>UNSEEN test datasets, three matched variants from sensor, electrical or machine data. Suggested: a held-back slice of Combined Cycle Power Plant, Steel Plates Faults (UCI 198, CC BY 4.0, 27 features, 7 fault classes), and a course-authored sensor log. Variants matched for row count, defect count and difficulty.</t>
        </is>
      </c>
      <c r="O11" s="54" t="inlineStr">
        <is>
          <t>The entire assessment is the challenge: an unfamiliar dataset, no prescribed method, and marks awarded for reasoning as much as for result.</t>
        </is>
      </c>
      <c r="P11" s="54" t="inlineStr">
        <is>
          <t>None issued. Week 8 pre-reading only (a two-page primer on the idea of fitting a line), so the test week carries no homework load.</t>
        </is>
      </c>
      <c r="Q11" s="54" t="inlineStr">
        <is>
          <t>—</t>
        </is>
      </c>
      <c r="R11" s="54" t="inlineStr">
        <is>
          <t>Data Analysis Project continues outside class; due Week 8.</t>
        </is>
      </c>
      <c r="S11" s="54" t="inlineStr">
        <is>
          <t>PRACTICAL TEST 1 = 15% of the Semester 1 mark. Individual. Rubric: profiling 15, cleaning decisions and justification 20, visualisation 20, findings correctness 20, engineering interpretation 15, notebook clarity and reproducibility 10.</t>
        </is>
      </c>
      <c r="T11" s="54" t="inlineStr">
        <is>
          <t>• CAPACITY PLAN: confirm machine and seat availability against cohort size now. Cohort A (~100) will very likely require two sittings with different dataset variants, or a BYOD-plus-lab hybrid. Escalate to the Faculty in Week 1, not Week 6.
• Author three parallel dataset variants of matched difficulty, plus a model answer and a mark scheme for each.
• Build the offline bundle: datasets, offline pandas/seaborn documentation, task sheet. Test it on a machine with the network cable physically unplugged.
• Prepare the invigilation plan, seating chart, and a submission collection method that works without a network (USB collection or a local drop folder).
• Write a structural auto-check script (does the notebook run top to bottom? are the required sections present?) to make ~100 scripts markable in reasonable time.
• Agree the moderation plan and the late/absent policy with the Faculty in advance.</t>
        </is>
      </c>
      <c r="U11" s="54" t="inlineStr">
        <is>
          <t>• Invigilated lab, offline. Confirmed machine count. Spare machines and a power contingency.
• USB drives or a local drop folder for collection.
• Printed task sheets (one per variant) and typed notebook response cells for Part B.
• Second invigilator for any sitting above 40 students.
• Published rubric (issued Week 6).</t>
        </is>
      </c>
      <c r="V11" s="54" t="inlineStr">
        <is>
          <t>DIVERGENT: the three dataset variants and their mark schemes. SHARED: format, rules, duration, rubric, offline bundle.</t>
        </is>
      </c>
    </row>
    <row r="12" ht="219.75" customHeight="1" s="36">
      <c r="A12" s="48" t="n">
        <v>8</v>
      </c>
      <c r="B12" s="49" t="inlineStr">
        <is>
          <t>Block 3 - The Machine Learning Core</t>
        </is>
      </c>
      <c r="C12" s="49" t="inlineStr">
        <is>
          <t>Mon 26 Oct 2026</t>
        </is>
      </c>
      <c r="D12" s="49" t="inlineStr">
        <is>
          <t>Fri 30 Oct 2026
11:00-14:00 · Room 115</t>
        </is>
      </c>
      <c r="E12" s="49" t="inlineStr">
        <is>
          <t>Cohort C</t>
        </is>
      </c>
      <c r="F12" s="49" t="inlineStr">
        <is>
          <t>CML3111</t>
        </is>
      </c>
      <c r="G12" s="49" t="inlineStr">
        <is>
          <t>Introduction to Machine Learning in Engineering</t>
        </is>
      </c>
      <c r="H12" s="49" t="inlineStr">
        <is>
          <t>Learning from data: the first model</t>
        </is>
      </c>
      <c r="I12" s="49" t="inlineStr">
        <is>
          <t>• Express an engineering question as a supervised learning task, naming the features and the target.
• Explain why data is split into training and test sets, using an argument a non-specialist would accept.
• Fit a linear regression, predict, and inspect the coefficients with appropriate caution.
• Compute MAE, RMSE and R-squared, and state the error in the physical units of the problem.
• Beat, or fail to beat, a trivial baseline - and interpret either outcome correctly.
• Explain why a good fit is not evidence of a causal mechanism.</t>
        </is>
      </c>
      <c r="J12" s="49" t="inlineStr">
        <is>
          <t>• 0:00-0:15  Practical Test 1 debrief: the three most common failures, shown anonymously, with the fix.
• 0:15-0:45  Concept: from 'draw the best line by eye' on the projector to 'minimise the total error', to the honest analogy for train/test - revising with the exam paper in front of you tells you nothing about what you know.
• 0:45-1:10  Demonstration: a complete regression in about fifteen lines on the anchor dataset. Every line is justified out loud. Predicted-vs-actual is plotted before any metric is quoted.
• 1:10-2:20  PRACTICAL - First Model. Students build, evaluate and interpret a regression on the cohort anchor dataset; then remove a feature, add a feature, and record what happens to the error in physical units.
• 2:20-2:45  CHALLENGE - Beat the Baseline. A leaderboard is run against a predict-the-mean baseline. Teams that beat it must explain why; teams that do not must diagnose why not. Both are valid outcomes and are marked the same way.
• 2:45-3:00  Data Analysis Project submitted. Engineering ML Project brief previewed.
• LAST FIVE MINUTES — QUIZ 7 - the first model. Open the Form, project the QR, give it exactly five minutes, close it, and show the cohort's score distribution before they leave. Worth 1%, best 10 of 12 count, no resits. If the network is down, convert it to a 24-hour link and say so out loud.</t>
        </is>
      </c>
      <c r="K12" s="49" t="inlineStr">
        <is>
          <t>• Supervised learning; feature matrix X and target vector y.
• Train/test split; random_state and reproducibility.
• Fitting, prediction, residual, loss.
• MAE, RMSE, R-squared - and which one an engineer should quote to a client.
• Error in physical units as the only honest report.
• Baseline models; the meaning of 'better than nothing'.
• Coefficients as association, not mechanism; correlation is not causation.</t>
        </is>
      </c>
      <c r="L12" s="49" t="inlineStr">
        <is>
          <t>• scikit-learn: train_test_split, LinearRegression, mean_absolute_error, mean_squared_error, r2_score.
• matplotlib for predicted-vs-actual and residual plots.
• The sklearn API pattern - fit / predict / score - named explicitly as the pattern that every model in the course will follow.</t>
        </is>
      </c>
      <c r="M12" s="49" t="inlineStr">
        <is>
          <t>First Model notebook (see structure). Core tier: a working, evaluated regression with the error stated in physical units. Stretch tier: a residual plot with a written interpretation of where the model is worst and a hypothesis as to why.
COHORT C FRAMING: The error must be reported as 'plus or minus X MW', and the class must answer: is that accurate enough to schedule generation or to trade on? Published benchmarks reach roughly 3 MW RMSE, which gives the class an honest external yardstick to compare themselves against.</t>
        </is>
      </c>
      <c r="N12" s="49" t="inlineStr">
        <is>
          <t>Combined Cycle Power Plant (UCI 294) predicting net hourly electrical power output in megawatts - a regression with a directly meaningful engineering error unit.</t>
        </is>
      </c>
      <c r="O12" s="49" t="inlineStr">
        <is>
          <t>Beat the Baseline. The baseline is the pedagogical device: it makes 'R-squared = 0.62' mean something, and it makes an unimpressive model an interesting result rather than a failure.</t>
        </is>
      </c>
      <c r="P12" s="49" t="inlineStr">
        <is>
          <t>A7 / W08: submit the issued cohort notebook with the regression/error interfaces and written interpretation of the supplied comparison. See assessment_banks/W08/&lt;cohort&gt;/A/TASKS.md.</t>
        </is>
      </c>
      <c r="Q12" s="49" t="inlineStr">
        <is>
          <t>QUIZ 7 - the first model
A score quoted on the training rows, a residual plot read the wrong way round, MAE against RMSE on the same data, and a baseline nobody computed.</t>
        </is>
      </c>
      <c r="R12" s="49" t="inlineStr">
        <is>
          <t>DATA ANALYSIS PROJECT DUE (10%). Engineering ML Project brief previewed; teams begin scoping.</t>
        </is>
      </c>
      <c r="S12" s="49" t="inlineStr">
        <is>
          <t>A7 contributes to Practical Challenges (10%). Data Analysis Project is submitted and marked (10%). Regression, metrics and train/test are core to Practical Test 2 (Week 14).</t>
        </is>
      </c>
      <c r="T12" s="49" t="inlineStr">
        <is>
          <t>• Mark Practical Test 1 before this session, or at least identify the three common failures - the debrief is worth more than a marked script returned in Week 11.
• Rehearse the fifteen-line demonstration until it is flawless. This is the single most important demonstration of the semester.
• Prepare the baseline leaderboard (a shared sheet or a simple script) and pre-compute the baseline score.
• Prepare the two-page 'fitting a line' primer as pre-reading.
• Draft the Engineering ML Project brief and rubric for release in Week 9.</t>
        </is>
      </c>
      <c r="U12" s="49" t="inlineStr">
        <is>
          <t>• Computers; anchor dataset offline; projector.
• Leaderboard display.
• Printed sklearn API card (fit / predict / score / metrics).
• Marked or triaged Test 1 scripts for the debrief.</t>
        </is>
      </c>
      <c r="V12" s="49" t="inlineStr">
        <is>
          <t>DIVERGENT: dataset, target, physical error unit, and the availability of a published benchmark. SHARED: all regression and metric content.</t>
        </is>
      </c>
    </row>
    <row r="13" ht="219.75" customHeight="1" s="36">
      <c r="A13" s="46" t="n">
        <v>9</v>
      </c>
      <c r="B13" s="47" t="inlineStr">
        <is>
          <t>Block 3 - The Machine Learning Core</t>
        </is>
      </c>
      <c r="C13" s="47" t="inlineStr">
        <is>
          <t>Mon 02 Nov 2026</t>
        </is>
      </c>
      <c r="D13" s="47" t="inlineStr">
        <is>
          <t>Fri 06 Nov 2026
11:00-14:00 · Room 115</t>
        </is>
      </c>
      <c r="E13" s="47" t="inlineStr">
        <is>
          <t>Cohort C</t>
        </is>
      </c>
      <c r="F13" s="47" t="inlineStr">
        <is>
          <t>CML3111</t>
        </is>
      </c>
      <c r="G13" s="47" t="inlineStr">
        <is>
          <t>Introduction to Machine Learning in Engineering</t>
        </is>
      </c>
      <c r="H13" s="47" t="inlineStr">
        <is>
          <t>Classification: predicting which category a case belongs to</t>
        </is>
      </c>
      <c r="I13" s="47" t="inlineStr">
        <is>
          <t>• Distinguish a regression task from a classification task, and recognise when a continuous target should be banded.
• Fit and compare logistic regression, a decision tree and a random forest.
• Read a confusion matrix and name each of the four cells in the language of the engineering problem.
• Explain why accuracy is misleading under class imbalance, with a worked case.
• Choose between precision and recall by reasoning about the cost of each kind of mistake.
• Read a feature importance ranking with appropriate scepticism.</t>
        </is>
      </c>
      <c r="J13" s="47" t="inlineStr">
        <is>
          <t>• 0:00-0:25  Concept: the engineering decision problem. Two mistakes are put on the board with their real costs - a false alarm that stops production, and a missed failure that destroys a machine or hurts someone. Everything else follows from that asymmetry.
• 0:25-0:55  Demonstration: a decision tree shallow enough to draw on the board and read as an engineering rule; then the same problem with a random forest, and an honest statement of what was traded away.
• 0:55-2:00  PRACTICAL - Failure Classifier. Students build three classifiers on the cohort dataset, produce confusion matrices, and complete a cost table: what does each cell cost us, in money, downtime or safety?
• 2:00-2:40  CHALLENGE - The 97% Trap. Teams are handed a dataset and a model reporting 97% accuracy. They are told only that the plant manager is unhappy. They must discover the class imbalance, prove the model is useless, and propose a better metric. No hints.
• 2:40-3:00  ENGINEERING ML PROJECT brief and rubric released.
• LAST FIVE MINUTES — QUIZ 8 - classification. Open the Form, project the QR, give it exactly five minutes, close it, and show the cohort's score distribution before they leave. Worth 1%, best 10 of 12 count, no resits. If the network is down, convert it to a 24-hour link and say so out loud.</t>
        </is>
      </c>
      <c r="K13" s="47" t="inlineStr">
        <is>
          <t>• Class, label, decision boundary.
• Logistic regression and its probability output; the threshold as an engineering choice, not a constant.
• Decision trees: splits, depth, readability as a genuine advantage.
• Ensembles and random forests; variance reduction, intuitively.
• Confusion matrix; TP, FP, FN, TN in domain language.
• Accuracy, precision, recall, F1; the precision-recall trade-off.
• Class imbalance and stratification.
• Cost-sensitive thinking; feature importance and its instability.</t>
        </is>
      </c>
      <c r="L13" s="47" t="inlineStr">
        <is>
          <t>• scikit-learn: LogisticRegression, DecisionTreeClassifier, RandomForestClassifier, confusion_matrix, ConfusionMatrixDisplay, classification_report, plot_tree.
• seaborn for the confusion matrix heatmap.
• pandas for the cost table.</t>
        </is>
      </c>
      <c r="M13" s="47" t="inlineStr">
        <is>
          <t>Failure Classifier notebook with three models, three confusion matrices, a cost table and a written recommendation naming the metric the team would report to management and why. Core tier: three working models and correct confusion matrix reading. Stretch tier: move the decision threshold and show the precision-recall trade-off as a curve.
COHORT C FRAMING: Cost table categories: cost of a false alarm that stops a line, cost of a missed failure including damage and downtime, cost of an unnecessary maintenance callout, and the safety consequence of an undetected fault. The asymmetry is stark here, which makes recall the obvious answer - and then the class must confront how many false alarms operators will actually tolerate before they disable the alarm.</t>
        </is>
      </c>
      <c r="N13" s="47" t="inlineStr">
        <is>
          <t>Primary: AI4I 2020 Predictive Maintenance (UCI 601) - machine failure, 3.4% positive rate, which is the natural home of The 97% Trap. Secondary: Steel Plates Faults (UCI 198) for a genuine multi-class problem with seven fault types.</t>
        </is>
      </c>
      <c r="O13" s="47" t="inlineStr">
        <is>
          <t>The 97% Trap. Deliberately adversarial. It inoculates students against the single most common failure in applied ML, and it is a low-guidance session by design.</t>
        </is>
      </c>
      <c r="P13" s="47" t="inlineStr">
        <is>
          <t>A8 / W09: submit the issued cohort notebook with classification checks and written interpretation of the supplied cost scenario. See assessment_banks/W09/&lt;cohort&gt;/A/TASKS.md.</t>
        </is>
      </c>
      <c r="Q13" s="47" t="inlineStr">
        <is>
          <t>QUIZ 8 - classification
A confusion matrix read for what the model does badly, an accuracy figure quoted without the class balance, and a threshold moved with its effect on each cell.</t>
        </is>
      </c>
      <c r="R13" s="47" t="inlineStr">
        <is>
          <t>ENGINEERING ML PROJECT launched (25%, runs to Week 15). Teams must register a problem statement, a candidate dataset and a named target variable by Week 10.</t>
        </is>
      </c>
      <c r="S13" s="47" t="inlineStr">
        <is>
          <t>A8 contributes to Practical Challenges (10%). The Engineering ML Project brief and rubric are now live. Classification and metric choice are examined in Practical Test 2.</t>
        </is>
      </c>
      <c r="T13" s="47" t="inlineStr">
        <is>
          <t>• Construct the 97% Trap dataset with a realistic imbalance (3-5% positive class) and a pre-built notebook that reports the misleading accuracy.
• Prepare a decision tree that is genuinely readable as an engineering rule - tune max_depth in advance so the board version is honest.
• Prepare the cost table template with cohort-specific cost categories.
• Finalise and publish the Engineering ML Project brief, rubric and milestone schedule.
• Prepare the approved project dataset list, with a route for teams proposing their own.</t>
        </is>
      </c>
      <c r="U13" s="47" t="inlineStr">
        <is>
          <t>• Computers; cohort classification dataset offline; projector and a large whiteboard for the drawn tree.
• Printed cost table template and confusion matrix card.
• Engineering ML Project brief and rubric (printed and posted).
• The 97% Trap notebook distributed offline.</t>
        </is>
      </c>
      <c r="V13" s="47" t="inlineStr">
        <is>
          <t>DIVERGENT: dataset, class definitions and cost categories. SHARED: all classification content and the 97% Trap design.</t>
        </is>
      </c>
    </row>
    <row r="14" ht="219.75" customHeight="1" s="36">
      <c r="A14" s="48" t="n">
        <v>10</v>
      </c>
      <c r="B14" s="49" t="inlineStr">
        <is>
          <t>Block 3 - The Machine Learning Core</t>
        </is>
      </c>
      <c r="C14" s="49" t="inlineStr">
        <is>
          <t>Mon 09 Nov 2026</t>
        </is>
      </c>
      <c r="D14" s="49" t="inlineStr">
        <is>
          <t>Fri 13 Nov 2026
11:00-14:00 · Room 115</t>
        </is>
      </c>
      <c r="E14" s="49" t="inlineStr">
        <is>
          <t>Cohort C</t>
        </is>
      </c>
      <c r="F14" s="49" t="inlineStr">
        <is>
          <t>CML3111</t>
        </is>
      </c>
      <c r="G14" s="49" t="inlineStr">
        <is>
          <t>Introduction to Machine Learning in Engineering</t>
        </is>
      </c>
      <c r="H14" s="49" t="inlineStr">
        <is>
          <t>Can I trust this model?</t>
        </is>
      </c>
      <c r="I14" s="49" t="inlineStr">
        <is>
          <t>• Diagnose overfitting and underfitting from the gap between training and test performance.
• Run k-fold cross-validation and report a mean with a spread, rather than a single number.
• Identify data leakage in a pipeline and name which of the four kinds it is.
• Rebuild a leaking workflow correctly using a Pipeline.
• Select a metric and defend the choice against a stated engineering consequence.
• State the conditions under which their own model should not be used.</t>
        </is>
      </c>
      <c r="J14" s="49" t="inlineStr">
        <is>
          <t>• 0:00-0:30  Concept: generalisation. Three error stories are told - the model that memorised, the model that never learned, and the model that cheated. Students must learn to tell them apart from evidence.
• 0:30-0:55  Demonstration: a tree depth sweep in which training accuracy rises to 1.0 while test accuracy falls. Then cross_val_score, and the discovery that a single train/test split was itself a noisy measurement.
• 0:55-2:00  PRACTICAL - Trust Lab. Students produce a validation curve, run 5-fold cross-validation, and then deliberately introduce two leaks: scaling before the split, and including a column that is only known after the outcome. They record the impossibly good score each leak produces, then fix both with a Pipeline.
• 2:00-2:40  CHALLENGE - Too Good To Be True. Teams receive a notebook reporting R-squared = 0.998 and must find out why. The planted causes differ by team: target leakage, duplicated rows spanning the split, and an identifier column correlated with the target.
• 2:40-3:00  Project Milestone 1 review, in team slots.
• LAST FIVE MINUTES — QUIZ 9 - can I trust this model?. Open the Form, project the QR, give it exactly five minutes, close it, and show the cohort's score distribution before they leave. Worth 1%, best 10 of 12 count, no resits. If the network is down, convert it to a 24-hour link and say so out loud.</t>
        </is>
      </c>
      <c r="K14" s="49" t="inlineStr">
        <is>
          <t>• Generalisation; the bias-variance idea, described without algebra.
• Overfitting, underfitting, and the diagnostic gap.
• Validation set vs test set; why the test set is spent only once.
• k-fold and stratified k-fold cross-validation; mean and standard deviation of a score.
• Data leakage: train-test contamination, target leakage, temporal leakage, group leakage.
• Pipeline as the structural fix for leakage, not merely as tidy code.
• Metric selection as an engineering decision.
• The domain of validity of a model; reproducibility and seeds.</t>
        </is>
      </c>
      <c r="L14" s="49" t="inlineStr">
        <is>
          <t>• scikit-learn: cross_val_score, KFold, StratifiedKFold, validation_curve, Pipeline, StandardScaler.
• matplotlib for the validation curve.
• AI assistant, supervised use 3 - the advanced prompt: 'review this pipeline for data leakage and explain any problem you find'. Students must verify the answer, and are marked on the verification.</t>
        </is>
      </c>
      <c r="M14" s="49" t="inlineStr">
        <is>
          <t>Trust Lab (see structure). Deliverable: a notebook containing the validation curve, cross-validation results reported as mean and standard deviation, two demonstrated leaks with their inflated scores, and the Pipeline-based fix. Core tier: all of the above. Stretch tier: a written 'conditions of use' statement for their own project model.</t>
        </is>
      </c>
      <c r="N14" s="49" t="inlineStr">
        <is>
          <t>The team's own project dataset, plus three course-authored 'Too Good To Be True' notebooks. Planted causes for this cohort: a maintenance-action column left in the features while predicting failure; duplicated logger rows spanning the split; and a machine identifier that encodes which units were already known to be failing.</t>
        </is>
      </c>
      <c r="O14" s="49" t="inlineStr">
        <is>
          <t>Too Good To Be True. Three different planted causes across the room, so teams cannot copy a diagnosis. This is the highest-value single exercise in the semester: leakage is the defect most likely to appear in student projects and in professional practice.</t>
        </is>
      </c>
      <c r="P14" s="49" t="inlineStr">
        <is>
          <t>A9 / W10: submit the issued cohort notebook with group-split/preprocessing checks and written leakage/conditions-of-use evidence. The broader project Trust Lab remains project development.</t>
        </is>
      </c>
      <c r="Q14" s="49" t="inlineStr">
        <is>
          <t>QUIZ 9 - can I trust this model?
Train and test scores matched to one of the three error stories, four pipelines with one that leaks, and a cross-validated score quoted without its spread. The highest-value quiz of the twelve, and worth protecting the five minutes for.</t>
        </is>
      </c>
      <c r="R14" s="49" t="inlineStr">
        <is>
          <t>PROJECT MILESTONE 1 (graded milestone): problem statement, dataset with licence, named target, and a baseline notebook. Each member's contribution log must be present in the repository.</t>
        </is>
      </c>
      <c r="S14" s="49" t="inlineStr">
        <is>
          <t>A9 contributes to Practical Challenges (10%). PM1 is a graded milestone within the Engineering ML Project (25%). Validation carries 15 of the 100 marks in the project rubric, and leakage control carries 20 of the 100 marks in the Practical Test 2 rubric.</t>
        </is>
      </c>
      <c r="T14" s="49" t="inlineStr">
        <is>
          <t>• Build three separate Too Good To Be True notebooks, one per planted cause, with a diagnosis key.
• Pre-run the depth sweep so the demonstration cannot fail live.
• Prepare the PM1 review slot booking sheet. For ~22 teams, run this as a 4-minute stand-up per team with a printed checklist, not a conversation.
• Prepare the contribution log template (who did what, with commit evidence).
• Draft the Practical Test 2 specification now, so Week 11-13 teaching can be aligned to it.</t>
        </is>
      </c>
      <c r="U14" s="49" t="inlineStr">
        <is>
          <t>• Computers; the three challenge notebooks offline; projector.
• Printed PM1 checklist and contribution log template.
• Printed leakage taxonomy card (four kinds, one example each).
• Timer for the PM1 stand-ups.</t>
        </is>
      </c>
      <c r="V14" s="49" t="inlineStr">
        <is>
          <t>DIVERGENT: the planted leakage causes are dressed in sensor and maintenance terms, and temporal leakage is emphasised because sensor data is a time series. SHARED: all validation content.</t>
        </is>
      </c>
    </row>
    <row r="15" ht="219.75" customHeight="1" s="36">
      <c r="A15" s="46" t="n">
        <v>11</v>
      </c>
      <c r="B15" s="47" t="inlineStr">
        <is>
          <t>Block 4 - Practical Machine Learning Judgement</t>
        </is>
      </c>
      <c r="C15" s="47" t="inlineStr">
        <is>
          <t>Mon 16 Nov 2026</t>
        </is>
      </c>
      <c r="D15" s="47" t="inlineStr">
        <is>
          <t>Fri 20 Nov 2026
11:00-14:00 · Room 115</t>
        </is>
      </c>
      <c r="E15" s="47" t="inlineStr">
        <is>
          <t>Cohort C</t>
        </is>
      </c>
      <c r="F15" s="47" t="inlineStr">
        <is>
          <t>CML3111</t>
        </is>
      </c>
      <c r="G15" s="47" t="inlineStr">
        <is>
          <t>Introduction to Machine Learning in Engineering</t>
        </is>
      </c>
      <c r="H15" s="47" t="inlineStr">
        <is>
          <t>Features: where engineering knowledge enters the model</t>
        </is>
      </c>
      <c r="I15" s="47" t="inlineStr">
        <is>
          <t>• Encode categorical variables appropriately and explain why the encoding choice matters.
• Scale features and state which models are sensitive to scale and which are not.
• Construct a feature from domain knowledge and measure whether it helped.
• Select features defensibly, including by ablation.
• Assemble a leak-proof ColumnTransformer inside a Pipeline.
• Write a feature dictionary that another engineer could work from.</t>
        </is>
      </c>
      <c r="J15" s="47" t="inlineStr">
        <is>
          <t>• 0:00-0:25  Concept: the model knows only what it is fed. A feature is engineering knowledge written in a form the model can use - and it is the one place where a domain engineer beats a better programmer.
• 0:25-0:55  Demonstration: one-hot and ordinal encoding; StandardScaler inside a Pipeline; and then a single domain-derived feature that outperforms every raw column combined.
• 0:55-2:00  PRACTICAL - Feature Workshop. Students engineer five features from domain knowledge, then measure each one's contribution by ablation and tabulate the result. A feature that does not help must be reported, not deleted.
• 2:00-2:40  CHALLENGE - Domain Advantage. The room is split. Half of each pair of teams may use only the raw columns; the other half must invent features and may not add any new model. They compete, then explain the difference. The lesson lands because they generated the evidence.
• 2:40-3:00  Project Milestone 2 briefing.
• LAST FIVE MINUTES — QUIZ 10 - features. Open the Form, project the QR, give it exactly five minutes, close it, and show the cohort's score distribution before they leave. Worth 1%, best 10 of 12 count, no resits. If the network is down, convert it to a 24-hour link and say so out loud.</t>
        </is>
      </c>
      <c r="K15" s="47" t="inlineStr">
        <is>
          <t>• Categorical vs numeric vs ordinal; cardinality.
• One-hot and ordinal encoding; the dummy variable trap, briefly.
• Standardisation and min-max scaling; distance-based and gradient-based sensitivity vs tree-based indifference.
• Ratios, interactions, and dimensionless groups as features.
• Binning and thresholds derived from standards or codes of practice.
• Feature selection: correlation screening, importance, and ablation as the honest method.
• ColumnTransformer and Pipeline for mixed data types without leakage.
• The feature dictionary as a required project artefact.</t>
        </is>
      </c>
      <c r="L15" s="47" t="inlineStr">
        <is>
          <t>• scikit-learn: OneHotEncoder, OrdinalEncoder, StandardScaler, MinMaxScaler, ColumnTransformer, Pipeline, SelectKBest.
• pandas for feature construction and the ablation results table.
• Git: a branch per feature experiment, which is where branching finally has an obvious purpose.</t>
        </is>
      </c>
      <c r="M15" s="47" t="inlineStr">
        <is>
          <t>Feature Workshop (see structure). Deliverable: five engineered features, each with a stated physical rationale, plus an ablation table showing the effect of each on the chosen metric. Core tier: five features with the ablation table. Stretch tier: a feature that encodes a design code, standard or empirical relationship from their own discipline, with the reference cited.
COHORT C FRAMING: Domain features that should be engineered: electrical power as voltage times current, temperature rise above ambient, mechanical power as torque times angular velocity, current imbalance across phases, peak-to-RMS ratio of a vibration signal, rolling mean and standard deviation over a sensor window, and cumulative tool wear or operating hours. Mechanical power from torque and speed is the demonstration feature - two raw columns that a physical relationship turns into the single most informative variable in the dataset.</t>
        </is>
      </c>
      <c r="N15" s="47" t="inlineStr">
        <is>
          <t>AI4I 2020 (UCI 601) and Combined Cycle Power Plant (UCI 294).</t>
        </is>
      </c>
      <c r="O15" s="47" t="inlineStr">
        <is>
          <t>Domain Advantage - a controlled experiment run by the students on themselves, comparing raw data plus a better algorithm against domain knowledge plus a simple algorithm.</t>
        </is>
      </c>
      <c r="P15" s="47" t="inlineStr">
        <is>
          <t>A10 / W11: submit the issued cohort notebook with feature/error checks and written interpretation of the supplied ablation. Extend the method to your project separately.</t>
        </is>
      </c>
      <c r="Q15" s="47" t="inlineStr">
        <is>
          <t>QUIZ 10 - features
An ablation table read for which feature earned its place, a one-hot encoding on a high-cardinality column, and a scaler that made no difference to a tree.</t>
        </is>
      </c>
      <c r="R15" s="47" t="inlineStr">
        <is>
          <t>PROJECT MILESTONE 2 briefed this week and due at the start of Week 12 (graded milestone): cleaned dataset, feature dictionary, and a first properly evaluated model inside a Pipeline.</t>
        </is>
      </c>
      <c r="S15" s="47" t="inlineStr">
        <is>
          <t>A10 contributes to Practical Challenges (10%). PM2 is a graded milestone within the project (25%). Engineering reasoning carries 20 of the 100 project marks, and feature construction is where it is most visible.</t>
        </is>
      </c>
      <c r="T15" s="47" t="inlineStr">
        <is>
          <t>• Identify, in advance, the one domain feature per cohort that clearly beats the raw columns - and verify it empirically before class. If the demonstration fails, the week's argument fails.
• Prepare the Domain Advantage pairing so that both conditions are genuinely competitive.
• Prepare the ablation table template and the feature dictionary template.
• Publish the Practical Test 2 specification and rubric this week.</t>
        </is>
      </c>
      <c r="U15" s="47" t="inlineStr">
        <is>
          <t>• Computers; cohort dataset offline.
• Printed feature dictionary and ablation table templates.
• Cohort-specific reference sheet of standards, codes or empirical relations that can legitimately become features.
• Practical Test 2 specification and rubric for distribution.</t>
        </is>
      </c>
      <c r="V15" s="47" t="inlineStr">
        <is>
          <t>DIVERGENT: the feature set and the reference sheet of standard electrical and mechanical relations. This cohort has the strongest physics-to-feature story of the three, so the week is at its most persuasive here. SHARED: all encoding, scaling, pipeline and ablation content.</t>
        </is>
      </c>
    </row>
    <row r="16" ht="219.75" customHeight="1" s="36">
      <c r="A16" s="48" t="n">
        <v>12</v>
      </c>
      <c r="B16" s="49" t="inlineStr">
        <is>
          <t>Block 4 - Practical Machine Learning Judgement</t>
        </is>
      </c>
      <c r="C16" s="49" t="inlineStr">
        <is>
          <t>Mon 23 Nov 2026</t>
        </is>
      </c>
      <c r="D16" s="49" t="inlineStr">
        <is>
          <t>Fri 27 Nov 2026
11:00-14:00 · Room 115</t>
        </is>
      </c>
      <c r="E16" s="49" t="inlineStr">
        <is>
          <t>Cohort C</t>
        </is>
      </c>
      <c r="F16" s="49" t="inlineStr">
        <is>
          <t>CML3111</t>
        </is>
      </c>
      <c r="G16" s="49" t="inlineStr">
        <is>
          <t>Introduction to Machine Learning in Engineering</t>
        </is>
      </c>
      <c r="H16" s="49" t="inlineStr">
        <is>
          <t>Model comparison and engineering judgement (low-guidance week)</t>
        </is>
      </c>
      <c r="I16" s="49" t="inlineStr">
        <is>
          <t>• Design a fair comparison in which only the model changes.
• Tune one or two hyperparameters using search inside cross-validation.
• Weigh accuracy against interpretability, data requirements, computational cost and failure behaviour.
• Write a one-page recommendation that a supervising engineer could act on.
• Defend a modelling choice under hostile questioning, and concede when the challenge is correct.</t>
        </is>
      </c>
      <c r="J16" s="49" t="inlineStr">
        <is>
          <t>• 0:00-0:10  Where we got to, and what is different about this week.
• 0:10-0:30  Concept: the comparison protocol. What must be held constant, what may vary, and why a leaderboard without a protocol is meaningless. Then the five selection criteria beyond accuracy.
• 0:30-0:45  Demonstration: exactly one worked GridSearchCV inside a Pipeline. Short by design - this week the students do the work.
• 0:45-0:55  BREAK.
• 0:55-2:35  ENGINEERING AI CHALLENGE - Choose a Model and Defend It. Teams receive an unfamiliar dataset and a brief from a fictional client. They must run at least four candidate models under an identical protocol, tabulate the results, and produce a one-page recommendation. Use 70 minutes for project practice and reserve 30 minutes for each student to complete the issued W12 notebook and written evidence. The later defence round gives formative feedback on the project recommendation.
• 2:35-2:50  DEFENCE ROUND. Each team presents its recommendation to another team, whose job is to attack it. Two challenges must be raised and answered. The lecturer gives formative feedback on the challenges and defences.
• 2:50-2:55  Project Milestone 3 briefing and W12 upload instructions.
• 2:55-3:00  WEEKLY QUIZ. Five questions; two revisit earlier weeks.
• LAST FIVE MINUTES — QUIZ 11 - model comparison (integrative). Open the Form, project the QR, give it exactly five minutes, close it, and show the cohort's score distribution before they leave. Worth 1%, best 10 of 12 count, no resits. If the network is down, convert it to a 24-hour link and say so out loud.</t>
        </is>
      </c>
      <c r="K16" s="49" t="inlineStr">
        <is>
          <t>• Comparison protocol; controlling the experiment.
• Parameters vs hyperparameters.
• Grid search and random search; search nested inside cross-validation.
• Variance of an estimate; when a difference in score is not a real difference.
• Selection criteria: accuracy, interpretability, training and inference cost, data hunger, and failure mode.
• Interpretability as a regulatory and professional requirement, not a preference.
• The engineering decision memo as a written form.</t>
        </is>
      </c>
      <c r="L16" s="49" t="inlineStr">
        <is>
          <t>• scikit-learn: GridSearchCV, RandomizedSearchCV, cross_validate, and the Pipeline as the unit of comparison.
• pandas for the results table.
• XGBoost / LightGBM: named and demonstrated for sixty seconds only, then explicitly deferred to Semester 2. Students are told why - the tool is not the lesson.
• AI assistant: permitted for this challenge, with every use logged. The recommendation must be defended orally, which is what makes the logging honest.</t>
        </is>
      </c>
      <c r="M16" s="49" t="inlineStr">
        <is>
          <t>The challenge is the practical. Deliverable per team: a results table for at least four models under one protocol, and a one-page recommendation naming the chosen model, the metric, the trade-off accepted, and the conditions under which the recommendation would change.</t>
        </is>
      </c>
      <c r="N16" s="49" t="inlineStr">
        <is>
          <t>An unfamiliar sensor or electrical dataset with a client brief. Suggested: MetroPT-3 (UCI 791, real compressor sensor data with maintenance reports) or Steel Plates Faults (UCI 198). The client brief should state a false-alarm tolerance, which forces a precision-recall argument rather than an accuracy contest.</t>
        </is>
      </c>
      <c r="O16" s="49" t="inlineStr">
        <is>
          <t>Choose a Model and Defend It, plus the adversarial Defence Round. This is the week that most directly rehearses professional engineering practice, and the least guided session before the test.</t>
        </is>
      </c>
      <c r="P16" s="49" t="inlineStr">
        <is>
          <t>A11 / W12: submit the issued cohort notebook with selection/error checks and written reasoning about the supplied constraints. The in-class recommendation and live defence are practice. This is the last weekly challenge.</t>
        </is>
      </c>
      <c r="Q16" s="49" t="inlineStr">
        <is>
          <t>QUIZ 11 - model comparison (integrative)
Whether a difference between two models is real given the fold spread, and which model a stated client constraint selects. TWO of the five questions are drawn from the Week 1-10 banks, which is what keeps the quizzes cumulative rather than disposable.</t>
        </is>
      </c>
      <c r="R16" s="49" t="inlineStr">
        <is>
          <t>PROJECT MILESTONE 3 briefed this week and due at the start of Week 13 (graded milestone): a model comparison table for the team's own project, with a justified selection.</t>
        </is>
      </c>
      <c r="S16" s="49" t="inlineStr">
        <is>
          <t>A11 contributes to Practical Challenges (10%) and is graded in-session. PM3 is a graded milestone within the project (25%). This session is the closest rehearsal for Practical Test 2.</t>
        </is>
      </c>
      <c r="T16" s="49" t="inlineStr">
        <is>
          <t>• Select the challenge dataset and write the fictional client brief. The brief must contain a real constraint - a cost, a safety consequence, or a requirement that the decision be explainable to a regulator.
• Pre-run the four candidate models to confirm the challenge is achievable in 100 minutes and that no single model trivially dominates.
• Print the question bank cards and brief any assistants: questions only, no answers, for the entire session.
• Prepare the recommendation template and the defence round pairing.
• Prepare the one-minute XGBoost demonstration and the explicit deferral message.</t>
        </is>
      </c>
      <c r="U16" s="49" t="inlineStr">
        <is>
          <t>• Computers; challenge dataset offline; printed client briefs.
• Printed question-bank cards and recommendation template.
• Room layout allowing team-to-team defence (movable seating strongly preferred).
• Timer and a visible protocol poster.</t>
        </is>
      </c>
      <c r="V16" s="49" t="inlineStr">
        <is>
          <t>DIVERGENT: challenge dataset and client brief. SHARED: protocol, defence round, criteria.</t>
        </is>
      </c>
    </row>
    <row r="17" ht="219.75" customHeight="1" s="36">
      <c r="A17" s="46" t="n">
        <v>13</v>
      </c>
      <c r="B17" s="47" t="inlineStr">
        <is>
          <t>Block 5 - Engineering Project</t>
        </is>
      </c>
      <c r="C17" s="47" t="inlineStr">
        <is>
          <t>Mon 30 Nov 2026</t>
        </is>
      </c>
      <c r="D17" s="47" t="inlineStr">
        <is>
          <t>Fri 04 Dec 2026
11:00-14:00 · Room 115</t>
        </is>
      </c>
      <c r="E17" s="47" t="inlineStr">
        <is>
          <t>Cohort C</t>
        </is>
      </c>
      <c r="F17" s="47" t="inlineStr">
        <is>
          <t>CML3111</t>
        </is>
      </c>
      <c r="G17" s="47" t="inlineStr">
        <is>
          <t>Introduction to Machine Learning in Engineering</t>
        </is>
      </c>
      <c r="H17" s="47" t="inlineStr">
        <is>
          <t>Project studio: reproducibility, communication and peer review</t>
        </is>
      </c>
      <c r="I17" s="47" t="inlineStr">
        <is>
          <t>• Structure a repository that a stranger could clone and run.
• Write a README that states the problem, the data, the method, the result and the limitations.
• Capture an environment so the analysis can be reproduced.
• Report a result honestly, including uncertainty and the conditions of use.
• Review another team's work against a published rubric and give specific, actionable feedback.
• Declare and account for the use of AI assistance.</t>
        </is>
      </c>
      <c r="J17" s="47" t="inlineStr">
        <is>
          <t>• 0:00-0:10  Where we got to.
• 0:10-0:30  Concept: reproducibility as professional obligation. Repository anatomy (data / notebooks / src / README / requirements.txt), relative paths, seeds, and what a reviewer looks for first.
• 0:30-0:50  Demonstration: a messy exploratory notebook is refactored live into a clean repository with a README. The messy version is the students' own typical output, used with permission.
• 0:50-1:00  BREAK.
• 1:00-2:35  STUDIO. Teams build. The lecturer runs timed clinic slots on a booked rotation (see preparation - this is the session that fails without a booking sheet). Teams not in a clinic slot work or peer-review.
• 2:35-2:50  PEER REVIEW ROUND. Each team reviews another team's repository against the project rubric and returns a written review naming two strengths and two specific fixes.
• 2:50-2:55  Practical Test 2 briefing: format, rules, offline mode, rubric restated.
• 2:55-3:00  WEEKLY QUIZ, the last of the twelve. Five questions; two revisit earlier weeks.
• LAST FIVE MINUTES — QUIZ 12 - reproducibility (integrative). Open the Form, project the QR, give it exactly five minutes, close it, and show the cohort's score distribution before they leave. Worth 1%, best 10 of 12 count, no resits. If the network is down, convert it to a 24-hour link and say so out loud.</t>
        </is>
      </c>
      <c r="K17" s="47" t="inlineStr">
        <is>
          <t>• Repository structure and naming conventions.
• README anatomy; the two-page engineering brief as a distinct genre from a notebook.
• requirements.txt and environment capture; relative paths; random seeds.
• Data documentation and licence attribution.
• Figure captions that state a finding rather than describe an axis.
• Honest reporting: uncertainty, limitations, conditions of use.
• AI-use declaration as a professional norm.
• Peer review as a skill in its own right.</t>
        </is>
      </c>
      <c r="L17" s="47" t="inlineStr">
        <is>
          <t>• Git: branches, merges, and a history that shows who did what.
• GitHub: README, repository structure, issues as a task list.
• requirements.txt / pip freeze.
• Notebook hygiene: restart-and-run-all as the acceptance test.
• Streamlit: a three-minute teaser only, framed as a Semester 2 destination for turning a model into something a colleague can use.</t>
        </is>
      </c>
      <c r="M17" s="47" t="inlineStr">
        <is>
          <t>Studio build plus the peer review round. Deliverable: a repository that passes restart-and-run-all, a complete README, requirements.txt, a contribution log, and a received peer review with a written response to it.</t>
        </is>
      </c>
      <c r="N17" s="47" t="inlineStr">
        <is>
          <t>The team's own project dataset.</t>
        </is>
      </c>
      <c r="O17" s="47" t="inlineStr">
        <is>
          <t>The peer review itself. Teams discover that reviewing is harder than building, and they find their own defects in someone else's repository.</t>
        </is>
      </c>
      <c r="P17" s="47" t="inlineStr">
        <is>
          <t>No new assignment - project work only, deliberately, so the week before the test carries no extra load.</t>
        </is>
      </c>
      <c r="Q17" s="47" t="inlineStr">
        <is>
          <t>QUIZ 12 - reproducibility (integrative)
A notebook that will not run on another machine, a hard-coded path, and a seed that was never set. TWO of the five are drawn from earlier banks. Run it before the peer review round so it does not compete with studio time.</t>
        </is>
      </c>
      <c r="R17" s="47" t="inlineStr">
        <is>
          <t>PROJECT MILESTONE 4: repository freeze candidate, restart-and-run-all passing, peer review received and responded to.</t>
        </is>
      </c>
      <c r="S17" s="47" t="inlineStr">
        <is>
          <t>PM4 feeds the Reproducibility and documentation (5%) and Communication (10%) criteria of the project rubric, and the whole session prepares the Week 15 demo. Practical Test 2 is briefed here.</t>
        </is>
      </c>
      <c r="T17" s="47" t="inlineStr">
        <is>
          <t>• BUILD THE CLINIC BOOKING SHEET. With ~22 teams in Cohort A, 95 minutes allows roughly 4 minutes per team, or 8 minutes for half of them with the other half seen in office hours. Decide and publish this before the session, and use a printed checklist so each slot is diagnostic rather than conversational.
• Prepare the messy-to-clean refactor demonstration using a real (anonymised, permitted) student notebook.
• Prepare the peer review form, keyed to the project rubric, and the review pairing.
• Prepare the repository checklist that teams self-assess against before booking a clinic slot.
• Finalise Practical Test 2: variants, offline bundle, capacity plan, invigilation.</t>
        </is>
      </c>
      <c r="U17" s="47" t="inlineStr">
        <is>
          <t>• Computers; movable seating; printed clinic booking sheet and repository checklist.
• Printed peer review forms.
• Two assistants or floor helpers if the cohort exceeds 60 students.
• Practical Test 2 information sheet.</t>
        </is>
      </c>
      <c r="V17" s="47" t="inlineStr">
        <is>
          <t>FULLY SHARED. Prepare once.</t>
        </is>
      </c>
    </row>
    <row r="18" ht="219.75" customHeight="1" s="36">
      <c r="A18" s="53" t="n">
        <v>14</v>
      </c>
      <c r="B18" s="54" t="inlineStr">
        <is>
          <t>ASSESSMENT WEEK 2</t>
        </is>
      </c>
      <c r="C18" s="54" t="inlineStr">
        <is>
          <t>Mon 07 Dec 2026</t>
        </is>
      </c>
      <c r="D18" s="54" t="inlineStr">
        <is>
          <t>Fri 11 Dec 2026
11:00-14:00 · Room 115</t>
        </is>
      </c>
      <c r="E18" s="54" t="inlineStr">
        <is>
          <t>Cohort C</t>
        </is>
      </c>
      <c r="F18" s="54" t="inlineStr">
        <is>
          <t>CML3111</t>
        </is>
      </c>
      <c r="G18" s="54" t="inlineStr">
        <is>
          <t>Introduction to Machine Learning in Engineering</t>
        </is>
      </c>
      <c r="H18" s="54" t="inlineStr">
        <is>
          <t>PRACTICAL TEST 2 - End-to-End Engineering Machine Learning (individual, offline)</t>
        </is>
      </c>
      <c r="I18" s="54" t="inlineStr">
        <is>
          <t>• Frame an unfamiliar engineering problem as a machine learning task, unaided.
• Prepare data and control leakage within a pipeline.
• Build and compare at least two models under a single valid protocol.
• Evaluate with a justified metric and report the result in engineering terms.
• State the model's limitations and the conditions under which it should not be used.
• Explain their own reasoning in writing without any tool.</t>
        </is>
      </c>
      <c r="J18" s="54" t="inlineStr">
        <is>
          <t>• 0:00-0:15  Seating, machine allocation, variant distribution, rules read aloud, offline mode confirmed.
• 0:15-2:15  TEST, PART A (practical, 2 hours). Individual, unfamiliar dataset from the cohort's domain. Tasks: state the ML task and name the target; prepare the data with justified decisions; build at least two models inside a leak-proof pipeline; evaluate with a justified metric and validate properly; report the result in physical or operational units; state three limitations.
• 2:15-2:40  TEST, PART B (written reasoning, 25 minutes, typed offline responses only; no code execution). Why this metric. Where could this pipeline leak. What would change your recommendation. Would you deploy this, and what would you require first.
• 2:40-3:00  Collection, structural check, dismissal. Week 15 demo running order confirmed.</t>
        </is>
      </c>
      <c r="K18" s="54" t="inlineStr">
        <is>
          <t>• No new concepts. Weeks 8-13 are examined: supervised learning, validation, leakage, features, model comparison and engineering interpretation.</t>
        </is>
      </c>
      <c r="L18" s="54" t="inlineStr">
        <is>
          <t>• Permitted: Python, VS Code or Jupyter, pandas, NumPy, matplotlib, seaborn, scikit-learn, and the offline documentation bundle.
• Prohibited: internet, AI assistants, messaging. The room runs offline.
• The offline bundle must include the scikit-learn API documentation - the test examines judgement, not memory of parameter names.</t>
        </is>
      </c>
      <c r="M18" s="54" t="inlineStr">
        <is>
          <t>The test is the practical. Duration 2h00 practical + 0h25 written. Three parallel dataset variants in a checkerboard seating pattern.</t>
        </is>
      </c>
      <c r="N18" s="54" t="inlineStr">
        <is>
          <t>UNSEEN test datasets, three matched variants from the sensor, electrical or machine domain, each supporting at least two model families.</t>
        </is>
      </c>
      <c r="O18" s="54" t="inlineStr">
        <is>
          <t>The whole assessment. An unfamiliar dataset, no prescribed method, and a rubric that awards more marks for reasoning and interpretation than for the score achieved.</t>
        </is>
      </c>
      <c r="P18" s="54" t="inlineStr">
        <is>
          <t>None. Final project preparation only.</t>
        </is>
      </c>
      <c r="Q18" s="54" t="inlineStr">
        <is>
          <t>—</t>
        </is>
      </c>
      <c r="R18" s="54" t="inlineStr">
        <is>
          <t>Engineering ML Project: final build week outside class. Repository and two-page brief due at the Week 15 session.</t>
        </is>
      </c>
      <c r="S18" s="54" t="inlineStr">
        <is>
          <t>PRACTICAL TEST 2 = 20% of the Semester 1 mark. Individual. Rubric: task framing 10, data preparation and leakage control 20, modelling protocol 20, evaluation and metric justification 20, engineering interpretation and limits 20, code clarity 10.</t>
        </is>
      </c>
      <c r="T18" s="54" t="inlineStr">
        <is>
          <t>• Author three parallel dataset variants of matched difficulty, each with a model answer and a mark scheme.
• Build and test the offline bundle, including scikit-learn documentation, on a machine with the network physically disconnected.
• Confirm the capacity plan. Cohort A will very likely need two sittings; this must be timetabled with the Faculty by Week 7 at the latest.
• Write the structural auto-check script (runs top to bottom, required sections present, no internet calls) to make large-cohort marking feasible.
• Agree the moderation sample and the double-marking plan with the Faculty.
• Prepare the Week 15 demo running order, two typed defence prompts and the digital submission check.</t>
        </is>
      </c>
      <c r="U18" s="54" t="inlineStr">
        <is>
          <t>• Invigilated offline lab; confirmed machine count; spare machines; power contingency.
• USB or local drop folder collection.
• Printed task sheets per variant; Part B answers typed into the notebook.
• Second invigilator for any sitting above 40 students.
• Rubric published in Week 11.</t>
        </is>
      </c>
      <c r="V18" s="54" t="inlineStr">
        <is>
          <t>DIVERGENT: the three dataset variants and their mark schemes. SHARED: format, rules, duration, rubric.</t>
        </is>
      </c>
    </row>
    <row r="19" ht="219.75" customHeight="1" s="36">
      <c r="A19" s="51" t="n">
        <v>15</v>
      </c>
      <c r="B19" s="52" t="inlineStr">
        <is>
          <t>Block 5 - Engineering Project</t>
        </is>
      </c>
      <c r="C19" s="52" t="inlineStr">
        <is>
          <t>Mon 14 Dec 2026</t>
        </is>
      </c>
      <c r="D19" s="52" t="inlineStr">
        <is>
          <t>Fri 18 Dec 2026
11:00-14:00 · Room 115</t>
        </is>
      </c>
      <c r="E19" s="52" t="inlineStr">
        <is>
          <t>Cohort C</t>
        </is>
      </c>
      <c r="F19" s="52" t="inlineStr">
        <is>
          <t>CML3111</t>
        </is>
      </c>
      <c r="G19" s="52" t="inlineStr">
        <is>
          <t>Introduction to Machine Learning in Engineering</t>
        </is>
      </c>
      <c r="H19" s="52" t="inlineStr">
        <is>
          <t>Engineering ML Demo Day, individual viva and reflection</t>
        </is>
      </c>
      <c r="I19" s="52" t="inlineStr">
        <is>
          <t>• Present a data-driven engineering solution to a mixed audience in six minutes.
• Answer challenging questions about method and limitations without defensiveness.
• Assess a peer's work against a rubric and justify the marks awarded.
• Account individually for their own contribution and for any AI assistance used.
• Reflect on their own progression from Week 1 and set two goals for Semester 2.</t>
        </is>
      </c>
      <c r="J19" s="52" t="inlineStr">
        <is>
          <t>• 0:00-0:10  Running order, rules, and the marking process explained.
• 0:10-2:20  DEMO FAIR, two rounds. Teams present at stations (laptop plus a one-page poster) while the lecturer and any invited guests offer formative feedback. Every team presents to at least four peers. All cohorts use the fair plus three selected plenary demos, each at most six minutes.
•    (inside the fair)  INDIVIDUAL DEFENCE. Every student submits typed answers to two repository-specific questions with their reflection. Local rubric assessment uses this evidence. Live questioning samples understanding for formative feedback; it cannot cover every student in a large cohort.
• 2:20-2:40  PLENARY: three demos of at most six minutes each, then two minutes for recognition (Best Engineering Reasoning, Best Investigation, Most Honest Limitations).
• 2:40-2:55  Feedback synthesis: what the cohort achieved, measured against the Week 1 promise. Semester 2 preview.
• 2:55-3:00  Individual reflection submitted.</t>
        </is>
      </c>
      <c r="K19" s="52" t="inlineStr">
        <is>
          <t>• Technical communication to a mixed audience.
• Defending a method; conceding a valid criticism as a professional strength.
• Peer assessment against a rubric.
• Individual accountability within team work.
• Reflective practice and self-directed goal setting.
• The graduate claim restated: 'give me an engineering problem involving data and I know how to start investigating it.'</t>
        </is>
      </c>
      <c r="L19" s="52" t="inlineStr">
        <is>
          <t>• Whatever the project required - the tool list is now the students' choice, which is itself the outcome being demonstrated.
• Optional and encouraged: a Streamlit interface, for teams who went beyond the brief.
• Include the repository URL with the actual required project files in the digital submission packet.</t>
        </is>
      </c>
      <c r="M19" s="52" t="inlineStr">
        <is>
          <t>Upload the project packet by the start: repository URL, required project files, two-page engineering brief, one-page poster, AI-use declaration and contribution log. Upload the complete individual DEMO packet, including two typed defence answers and the 500-word reflection, by the end. Live questions and peer feedback are formative.</t>
        </is>
      </c>
      <c r="N19" s="52" t="inlineStr">
        <is>
          <t>Team-selected. Example project titles for this cohort: Motor Anomaly Detector; Machine Failure Risk Model; Power Output Forecaster; Electrical Fault Classifier; Surface Defect Classifier; Sensor Health Monitor; Robot State Classifier.</t>
        </is>
      </c>
      <c r="O19" s="52" t="inlineStr">
        <is>
          <t>Two individual typed answers about their own repository, submitted with the reflection. Live questions are formative.</t>
        </is>
      </c>
      <c r="P19" s="52" t="inlineStr">
        <is>
          <t>None. Semester 2 pre-reading and an optional holiday challenge are issued for students who want to keep going.</t>
        </is>
      </c>
      <c r="Q19" s="52" t="inlineStr">
        <is>
          <t>—</t>
        </is>
      </c>
      <c r="R19" s="52" t="inlineStr">
        <is>
          <t>ENGINEERING ML PROJECT FINAL SUBMISSION (25%). Demo, viva and reflection (10%).</t>
        </is>
      </c>
      <c r="S19" s="52" t="inlineStr">
        <is>
          <t>Engineering ML Project 25% - rubric: problem definition 15, data understanding 15, methodology 20, engineering reasoning 20, validation 15, communication 10, reproducibility and documentation 5. Demo, typed defence and individual reflection 10%. Peer feedback and live questions are formative; they do not alter assessment marks.</t>
        </is>
      </c>
      <c r="T19" s="52" t="inlineStr">
        <is>
          <t>• Invite Faculty staff and, if possible, one external practising engineer as assessors - it raises the standard of every submission more than any amount of exhortation.
• Prepare two repository-specific written defence prompts and the individual submission form.
• Prepare the peer assessment form and brief students on it in Week 13.
• Book a room configuration that supports a fair: tables around the perimeter, power for every station.
• Prepare the Week 1 promise slide for the closing comparison, and the Semester 2 preview.
• Prepare the reflection prompt and the recognition certificates.</t>
        </is>
      </c>
      <c r="U19" s="52" t="inlineStr">
        <is>
          <t>• Fair-capable room with power at the perimeter; poster stands or tape.
• Invited assessors and printed assessor packs with the rubric.
• Individual written defence submission form and formative peer feedback forms.
• Certificates for the three recognitions.
• Camera to record demos for the programme's own portfolio, with student consent.</t>
        </is>
      </c>
      <c r="V19" s="52" t="inlineStr">
        <is>
          <t>DIVERGENT: project titles and invited assessors (invite an electrical, control or automation engineer). SHARED: demo format, viva bank structure, rubric.</t>
        </is>
      </c>
    </row>
  </sheetData>
  <autoFilter ref="A4:V19"/>
  <mergeCells count="2">
    <mergeCell ref="A1:T1"/>
    <mergeCell ref="A2:T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7030A0"/>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35" min="1" max="1"/>
    <col width="34" customWidth="1" style="35" min="2" max="2"/>
    <col width="62" customWidth="1" style="35" min="3" max="4"/>
    <col width="20" customWidth="1" style="35" min="5" max="5"/>
    <col width="74" customWidth="1" style="35" min="6" max="6"/>
  </cols>
  <sheetData>
    <row r="1" ht="25.5" customHeight="1" s="36">
      <c r="A1" s="37" t="inlineStr">
        <is>
          <t>Shared core versus cohort-specific overlay</t>
        </is>
      </c>
    </row>
    <row r="2" ht="18" customHeight="1" s="36">
      <c r="A2" s="38" t="inlineStr">
        <is>
          <t>Where one preparation serves three cohorts, and where three separate preparations are genuinely needed.</t>
        </is>
      </c>
    </row>
    <row r="4" ht="31.5" customHeight="1" s="36">
      <c r="A4" s="42" t="inlineStr">
        <is>
          <t>Week</t>
        </is>
      </c>
      <c r="B4" s="42" t="inlineStr">
        <is>
          <t>Topic</t>
        </is>
      </c>
      <c r="C4" s="42" t="inlineStr">
        <is>
          <t>Shared across all three cohorts (prepare once)</t>
        </is>
      </c>
      <c r="D4" s="42" t="inlineStr">
        <is>
          <t>Must be re-skinned per cohort (prepare three times)</t>
        </is>
      </c>
      <c r="E4" s="42" t="inlineStr">
        <is>
          <t>Approx. re-skin effort</t>
        </is>
      </c>
      <c r="F4" s="42" t="inlineStr">
        <is>
          <t>Cohort A / B / C divergence</t>
        </is>
      </c>
    </row>
    <row r="5" ht="96" customHeight="1" s="36">
      <c r="A5" s="46" t="n">
        <v>1</v>
      </c>
      <c r="B5" s="47" t="inlineStr">
        <is>
          <t>The engineering problem that needs data</t>
        </is>
      </c>
      <c r="C5" s="47" t="inlineStr">
        <is>
          <t>Course contract, the rules-vs-learning argument, the Problem Hunt design, the gallery walk, team formation, A1 brief.</t>
        </is>
      </c>
      <c r="D5" s="47" t="inlineStr">
        <is>
          <t>The 12-row printed dataset extract, the two framing questions, the Problem Hunt prompt cards.</t>
        </is>
      </c>
      <c r="E5" s="47" t="inlineStr">
        <is>
          <t>Low — 1 hour each</t>
        </is>
      </c>
      <c r="F5" s="47" t="inlineStr">
        <is>
          <t>[A] DIVERGENT: anchor dataset, framing questions, Problem Hunt prompts. SHARED: everything else.
[B] DIVERGENT: anchor dataset, framing questions, Problem Hunt prompts. SHARED: everything else.
[C] DIVERGENT: anchor dataset, framing questions, Problem Hunt prompts. SHARED: everything else.</t>
        </is>
      </c>
    </row>
    <row r="6" ht="96" customHeight="1" s="36">
      <c r="A6" s="48" t="n">
        <v>2</v>
      </c>
      <c r="B6" s="49" t="inlineStr">
        <is>
          <t>Colab notebooks and version control</t>
        </is>
      </c>
      <c r="C6" s="49" t="inlineStr">
        <is>
          <t>Everything. The tool map, the install clinic, terminal, notebook, Git, Kaggle, Break and Fix.</t>
        </is>
      </c>
      <c r="D6" s="49" t="inlineStr">
        <is>
          <t>Nothing beyond the one-line README prompt naming their programme.</t>
        </is>
      </c>
      <c r="E6" s="49" t="inlineStr">
        <is>
          <t>None</t>
        </is>
      </c>
      <c r="F6" s="49" t="inlineStr">
        <is>
          <t>[A] Largely shared.
[B] Largely shared.
[C] Largely shared.</t>
        </is>
      </c>
    </row>
    <row r="7" ht="96" customHeight="1" s="36">
      <c r="A7" s="46" t="n">
        <v>3</v>
      </c>
      <c r="B7" s="47" t="inlineStr">
        <is>
          <t>Python as an engineering calculator</t>
        </is>
      </c>
      <c r="C7" s="47" t="inlineStr">
        <is>
          <t>All Python concepts, the function-library task design, the Wrong Answer Hunt format, the debugger demo.</t>
        </is>
      </c>
      <c r="D7" s="47" t="inlineStr">
        <is>
          <t>The six engineering formulas and the unit traps planted in the Wrong Answer Hunt.</t>
        </is>
      </c>
      <c r="E7" s="47" t="inlineStr">
        <is>
          <t>Medium — 2–3 hours each</t>
        </is>
      </c>
      <c r="F7" s="47" t="inlineStr">
        <is>
          <t>[A] DIVERGENT: the six formulas and the Wrong Answer Hunt unit traps (kN vs N, mm vs m, W/m2K). SHARED: all concepts, structure, challenge design.
[B] DIVERGENT: the six formulas and the Wrong Answer Hunt traps (grams per tonne vs percent, barrels vs cubic metres, wet vs dry tonnes). SHARED: all concepts and structure.
[C] DIVERGENT: the six formulas and the Wrong Answer Hunt traps (degrees vs radians, RPM vs rad/s, power vs apparent power, dB vs linear). SHARED: all concepts and structure.</t>
        </is>
      </c>
    </row>
    <row r="8" ht="96" customHeight="1" s="36">
      <c r="A8" s="48" t="n">
        <v>4</v>
      </c>
      <c r="B8" s="49" t="inlineStr">
        <is>
          <t>Python for problem solving: collections, loops and files</t>
        </is>
      </c>
      <c r="C8" s="49" t="inlineStr">
        <is>
          <t>All collections, loops, file I/O and exception content. The Reading Report task. The Investigation Lab format and question bank.</t>
        </is>
      </c>
      <c r="D8" s="49" t="inlineStr">
        <is>
          <t>The ~300-row Investigation Lab file, its planted finding and its red herrings.</t>
        </is>
      </c>
      <c r="E8" s="49" t="inlineStr">
        <is>
          <t>High — 3–4 hours each</t>
        </is>
      </c>
      <c r="F8" s="49" t="inlineStr">
        <is>
          <t>[A] DIVERGENT: the Investigation Lab file and its planted story. SHARED: all Python content.
[B] DIVERGENT: the Investigation Lab file and its planted story. SHARED: all Python content.
[C] DIVERGENT: the Investigation Lab file and its planted story. SHARED: all Python content.</t>
        </is>
      </c>
    </row>
    <row r="9" ht="96" customHeight="1" s="36">
      <c r="A9" s="46" t="n">
        <v>5</v>
      </c>
      <c r="B9" s="47" t="inlineStr">
        <is>
          <t>NumPy and pandas: the engineer's data table, and where data comes from</t>
        </is>
      </c>
      <c r="C9" s="47" t="inlineStr">
        <is>
          <t>All NumPy and pandas content. The loops-vs-pandas comparison. The Kaggle and UCI sourcing segment. The Ten Questions format.</t>
        </is>
      </c>
      <c r="D9" s="47" t="inlineStr">
        <is>
          <t>The anchor dataset, the twelve interrogation questions, and the dataset subsetting work (heavy for Cohort B).</t>
        </is>
      </c>
      <c r="E9" s="47" t="inlineStr">
        <is>
          <t>High — 4 hours each</t>
        </is>
      </c>
      <c r="F9" s="47" t="inlineStr">
        <is>
          <t>[A] DIVERGENT: anchor dataset and the twelve questions. SHARED: all pandas and NumPy content, the Kaggle/UCI sourcing segment, the challenge format.
[B] DIVERGENT: anchor dataset and the twelve questions. SHARED: all pandas and NumPy content and the sourcing segment.
[C] DIVERGENT: anchor dataset and the twelve questions. SHARED: all pandas and NumPy content and the sourcing segment.</t>
        </is>
      </c>
    </row>
    <row r="10" ht="96" customHeight="1" s="36">
      <c r="A10" s="48" t="n">
        <v>6</v>
      </c>
      <c r="B10" s="49" t="inlineStr">
        <is>
          <t>Dirty data, and seeing it: data quality through visualisation</t>
        </is>
      </c>
      <c r="C10" s="49" t="inlineStr">
        <is>
          <t>All cleaning and visualisation content. The Data Clinic design. The Outlier Argument format. Chart grammar.</t>
        </is>
      </c>
      <c r="D10" s="49" t="inlineStr">
        <is>
          <t>The damaged dataset with its six planted defects, and the five outlier cases.</t>
        </is>
      </c>
      <c r="E10" s="49" t="inlineStr">
        <is>
          <t>High — 4 hours each</t>
        </is>
      </c>
      <c r="F10" s="49" t="inlineStr">
        <is>
          <t>[A] DIVERGENT: the damaged dataset and the five outlier cases. SHARED: all cleaning and visualisation content.
[B] DIVERGENT: the damaged dataset and the five outlier cases. SHARED: all cleaning and visualisation content.
[C] DIVERGENT: the damaged dataset and the five outlier cases. The 'stuck-at-zero sensor' case is emphasised for this cohort because it is the defect they will meet most often in practice. SHARED: all cleaning and visualisation content.</t>
        </is>
      </c>
    </row>
    <row r="11" ht="96" customHeight="1" s="36">
      <c r="A11" s="53" t="n">
        <v>7</v>
      </c>
      <c r="B11" s="54" t="inlineStr">
        <is>
          <t>PRACTICAL TEST 1 - Data Investigation (individual, offline)</t>
        </is>
      </c>
      <c r="C11" s="54" t="inlineStr">
        <is>
          <t>Format, duration, rules, offline bundle, rubric, invigilation plan, auto-check script, moderation plan.</t>
        </is>
      </c>
      <c r="D11" s="54" t="inlineStr">
        <is>
          <t>Three matched unseen dataset variants per cohort, with model answers and mark schemes. Nine variants in total.</t>
        </is>
      </c>
      <c r="E11" s="54" t="inlineStr">
        <is>
          <t>Very high — 6–8 hours each</t>
        </is>
      </c>
      <c r="F11" s="54" t="inlineStr">
        <is>
          <t>[A] DIVERGENT: the three dataset variants and their mark schemes. SHARED: format, rules, duration, rubric, offline bundle.
[B] DIVERGENT: the three dataset variants and their mark schemes. SHARED: format, rules, duration, rubric, offline bundle.
[C] DIVERGENT: the three dataset variants and their mark schemes. SHARED: format, rules, duration, rubric, offline bundle.</t>
        </is>
      </c>
    </row>
    <row r="12" ht="96" customHeight="1" s="36">
      <c r="A12" s="48" t="n">
        <v>8</v>
      </c>
      <c r="B12" s="49" t="inlineStr">
        <is>
          <t>Learning from data: the first model</t>
        </is>
      </c>
      <c r="C12" s="49" t="inlineStr">
        <is>
          <t>All regression, metric and baseline content. The fifteen-line demonstration structure. The leaderboard.</t>
        </is>
      </c>
      <c r="D12" s="49" t="inlineStr">
        <is>
          <t>The dataset, the target, the physical error unit, and the 'is it good enough' question.</t>
        </is>
      </c>
      <c r="E12" s="49" t="inlineStr">
        <is>
          <t>Low — 1–2 hours each</t>
        </is>
      </c>
      <c r="F12" s="49" t="inlineStr">
        <is>
          <t>[A] DIVERGENT: dataset, target, physical error units, and the 'is it good enough' question. SHARED: all regression and metric content.
[B] DIVERGENT: dataset, target and the operating decision question. SHARED: all regression and metric content.
[C] DIVERGENT: dataset, target, physical error unit, and the availability of a published benchmark. SHARED: all regression and metric content.</t>
        </is>
      </c>
    </row>
    <row r="13" ht="96" customHeight="1" s="36">
      <c r="A13" s="46" t="n">
        <v>9</v>
      </c>
      <c r="B13" s="47" t="inlineStr">
        <is>
          <t>Classification: predicting which category a case belongs to</t>
        </is>
      </c>
      <c r="C13" s="47" t="inlineStr">
        <is>
          <t>All classification content. The cost-asymmetry framing. The 97% Trap design. The drawn decision tree.</t>
        </is>
      </c>
      <c r="D13" s="47" t="inlineStr">
        <is>
          <t>The dataset, the class definitions or banding decision, and the four cost categories.</t>
        </is>
      </c>
      <c r="E13" s="47" t="inlineStr">
        <is>
          <t>Medium — 2–3 hours each</t>
        </is>
      </c>
      <c r="F13" s="47" t="inlineStr">
        <is>
          <t>[A] DIVERGENT: dataset, class definitions and cost categories. SHARED: all classification content and the 97% Trap design.
[B] DIVERGENT: dataset, class definitions and cost categories. SHARED: all classification content and the 97% Trap design.
[C] DIVERGENT: dataset, class definitions and cost categories. SHARED: all classification content and the 97% Trap design.</t>
        </is>
      </c>
    </row>
    <row r="14" ht="96" customHeight="1" s="36">
      <c r="A14" s="48" t="n">
        <v>10</v>
      </c>
      <c r="B14" s="49" t="inlineStr">
        <is>
          <t>Can I trust this model?</t>
        </is>
      </c>
      <c r="C14" s="49" t="inlineStr">
        <is>
          <t>All validation, cross-validation and leakage content. The depth sweep. The Too Good To Be True format. PM1 review.</t>
        </is>
      </c>
      <c r="D14" s="49" t="inlineStr">
        <is>
          <t>The three planted leakage causes, dressed in the cohort's own terms.</t>
        </is>
      </c>
      <c r="E14" s="49" t="inlineStr">
        <is>
          <t>Medium — 2–3 hours each</t>
        </is>
      </c>
      <c r="F14" s="49" t="inlineStr">
        <is>
          <t>[A] DIVERGENT: the planted leakage causes are dressed in construction terms. SHARED: all validation content.
[B] DIVERGENT: the planted leakage causes are dressed in mining and petroleum terms, and the temporal leakage case is emphasised because process data is a time series. SHARED: all validation content.
[C] DIVERGENT: the planted leakage causes are dressed in sensor and maintenance terms, and temporal leakage is emphasised because sensor data is a time series. SHARED: all validation content.</t>
        </is>
      </c>
    </row>
    <row r="15" ht="96" customHeight="1" s="36">
      <c r="A15" s="46" t="n">
        <v>11</v>
      </c>
      <c r="B15" s="47" t="inlineStr">
        <is>
          <t>Features: where engineering knowledge enters the model</t>
        </is>
      </c>
      <c r="C15" s="47" t="inlineStr">
        <is>
          <t>All encoding, scaling, ColumnTransformer, Pipeline, selection and ablation content. The Domain Advantage design.</t>
        </is>
      </c>
      <c r="D15" s="47" t="inlineStr">
        <is>
          <t>The feature set, the one demonstration feature that must beat the raw columns, and the standards reference sheet.</t>
        </is>
      </c>
      <c r="E15" s="47" t="inlineStr">
        <is>
          <t>Medium — 3 hours each</t>
        </is>
      </c>
      <c r="F15" s="47" t="inlineStr">
        <is>
          <t>[A] DIVERGENT: the feature set and the standards reference sheet (relevant concrete and building-envelope codes). SHARED: all encoding, scaling, pipeline and ablation content.
[B] DIVERGENT: the feature set and the reference sheet of standard mining and petroleum relations. SHARED: all encoding, scaling, pipeline and ablation content.
[C] DIVERGENT: the feature set and the reference sheet of standard electrical and mechanical relations. This cohort has the strongest physics-to-feature story of the three, so the week is at its most persuasive here. SHARED: all encoding, scaling, pipeline and ablation content.</t>
        </is>
      </c>
    </row>
    <row r="16" ht="96" customHeight="1" s="36">
      <c r="A16" s="48" t="n">
        <v>12</v>
      </c>
      <c r="B16" s="49" t="inlineStr">
        <is>
          <t>Model comparison and engineering judgement (low-guidance week)</t>
        </is>
      </c>
      <c r="C16" s="49" t="inlineStr">
        <is>
          <t>The comparison protocol, the five selection criteria, the GridSearchCV demonstration, the defence round, the question bank.</t>
        </is>
      </c>
      <c r="D16" s="49" t="inlineStr">
        <is>
          <t>The challenge dataset and the fictional client brief with its real constraint.</t>
        </is>
      </c>
      <c r="E16" s="49" t="inlineStr">
        <is>
          <t>Medium — 2–3 hours each</t>
        </is>
      </c>
      <c r="F16" s="49" t="inlineStr">
        <is>
          <t>[A] DIVERGENT: challenge dataset and client brief. SHARED: protocol, defence round, criteria.
[B] DIVERGENT: challenge dataset and client brief. SHARED: protocol, defence round, criteria.
[C] DIVERGENT: challenge dataset and client brief. SHARED: protocol, defence round, criteria.</t>
        </is>
      </c>
    </row>
    <row r="17" ht="96" customHeight="1" s="36">
      <c r="A17" s="46" t="n">
        <v>13</v>
      </c>
      <c r="B17" s="47" t="inlineStr">
        <is>
          <t>Project studio: reproducibility, communication and peer review</t>
        </is>
      </c>
      <c r="C17" s="47" t="inlineStr">
        <is>
          <t>EVERYTHING. Repository structure, README standards, requirements.txt, restart-and-run-all, peer review, the clinic rotation.</t>
        </is>
      </c>
      <c r="D17" s="47" t="inlineStr">
        <is>
          <t>Nothing. This week is genuinely identical across all three cohorts.</t>
        </is>
      </c>
      <c r="E17" s="47" t="inlineStr">
        <is>
          <t>None</t>
        </is>
      </c>
      <c r="F17" s="47" t="inlineStr">
        <is>
          <t>[A] FULLY SHARED. Reproducibility, README standards and peer review are identical across all three cohorts. Prepare once.
[B] FULLY SHARED. Prepare once.
[C] FULLY SHARED. Prepare once.</t>
        </is>
      </c>
    </row>
    <row r="18" ht="96" customHeight="1" s="36">
      <c r="A18" s="53" t="n">
        <v>14</v>
      </c>
      <c r="B18" s="54" t="inlineStr">
        <is>
          <t>PRACTICAL TEST 2 - End-to-End Engineering Machine Learning (individual, offline)</t>
        </is>
      </c>
      <c r="C18" s="54" t="inlineStr">
        <is>
          <t>Format, duration, rules, offline bundle, rubric, invigilation, auto-check script, moderation.</t>
        </is>
      </c>
      <c r="D18" s="54" t="inlineStr">
        <is>
          <t>Three matched unseen dataset variants per cohort. Nine variants in total.</t>
        </is>
      </c>
      <c r="E18" s="54" t="inlineStr">
        <is>
          <t>Very high — 6–8 hours each</t>
        </is>
      </c>
      <c r="F18" s="54" t="inlineStr">
        <is>
          <t>[A] DIVERGENT: the three dataset variants and their mark schemes. SHARED: format, rules, duration, rubric.
[B] DIVERGENT: the three dataset variants and their mark schemes. SHARED: format, rules, duration, rubric.
[C] DIVERGENT: the three dataset variants and their mark schemes. SHARED: format, rules, duration, rubric.</t>
        </is>
      </c>
    </row>
    <row r="19" ht="96" customHeight="1" s="36">
      <c r="A19" s="46" t="n">
        <v>15</v>
      </c>
      <c r="B19" s="47" t="inlineStr">
        <is>
          <t>Engineering ML Demo Day, individual viva and reflection</t>
        </is>
      </c>
      <c r="C19" s="47" t="inlineStr">
        <is>
          <t>Demo fair format, viva bank structure, peer assessment form, recognition categories, reflection prompt, the Week 1 promise comparison.</t>
        </is>
      </c>
      <c r="D19" s="47" t="inlineStr">
        <is>
          <t>The project titles that emerge, and which external assessor to invite.</t>
        </is>
      </c>
      <c r="E19" s="47" t="inlineStr">
        <is>
          <t>Low — under 1 hour each</t>
        </is>
      </c>
      <c r="F19" s="47" t="inlineStr">
        <is>
          <t>[A] DIVERGENT: project titles and invited assessors (invite a structural or building services engineer). SHARED: demo format, viva bank structure, rubric.
[B] DIVERGENT: project titles and invited assessors (invite a mining or petroleum engineer). SHARED: demo format, viva bank structure, rubric.
[C] DIVERGENT: project titles and invited assessors (invite an electrical, control or automation engineer). SHARED: demo format, viva bank structure, rubric.</t>
        </is>
      </c>
    </row>
    <row r="21" ht="45.75" customHeight="1" s="36">
      <c r="A21" s="56" t="inlineStr">
        <is>
          <t>Reading of this sheet: the two assessment weeks and Weeks 4–7 carry almost all of the triplicated preparation, because that is where the datasets must be authored. Weeks 2 and 13 require no divergent preparation at all. Eighteen unseen test dataset variants are needed in total — nine for each test, being three matched variants per cohort. Build the nine for Test 1 during Weeks 2–5, and the nine for Test 2 during Weeks 8–12. Do not leave either set to the fortnight before the test, when there will be no capacity.</t>
        </is>
      </c>
    </row>
  </sheetData>
  <mergeCells count="3">
    <mergeCell ref="A2:F2"/>
    <mergeCell ref="A21:F2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C55A11"/>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2" customWidth="1" style="35" min="1" max="1"/>
    <col width="30" customWidth="1" style="35" min="2" max="2"/>
    <col width="34" customWidth="1" style="35" min="3" max="3"/>
    <col width="10" customWidth="1" style="35" min="4" max="4"/>
    <col width="54" customWidth="1" style="35" min="5" max="5"/>
    <col width="44" customWidth="1" style="35" min="6" max="6"/>
  </cols>
  <sheetData>
    <row r="1" ht="25.5" customHeight="1" s="36">
      <c r="A1" s="37" t="inlineStr">
        <is>
          <t>Semester 1 assessment design</t>
        </is>
      </c>
    </row>
    <row r="2" ht="18" customHeight="1" s="36">
      <c r="A2" s="38" t="inlineStr">
        <is>
          <t>Entirely practical, continuous and project-based. No traditional written examination. 65% of the mark is individual; automatic grading coverage is validated assessment by assessment.</t>
        </is>
      </c>
    </row>
    <row r="4" ht="19.5" customHeight="1" s="36">
      <c r="A4" s="57" t="inlineStr">
        <is>
          <t>MODEL 1 — RECOMMENDED</t>
        </is>
      </c>
    </row>
    <row r="5" ht="31.5" customHeight="1" s="36">
      <c r="A5" s="42" t="inlineStr">
        <is>
          <t>Component</t>
        </is>
      </c>
      <c r="B5" s="42" t="inlineStr">
        <is>
          <t>When</t>
        </is>
      </c>
      <c r="C5" s="42" t="inlineStr">
        <is>
          <t>Individual / team</t>
        </is>
      </c>
      <c r="D5" s="42" t="inlineStr">
        <is>
          <t>Weight</t>
        </is>
      </c>
      <c r="E5" s="42" t="inlineStr">
        <is>
          <t>Deliverable</t>
        </is>
      </c>
      <c r="F5" s="42" t="inlineStr">
        <is>
          <t>Marked against</t>
        </is>
      </c>
    </row>
    <row r="6" ht="42" customHeight="1" s="36">
      <c r="A6" s="46" t="inlineStr">
        <is>
          <t>WEEKLY QUIZZES (12 graded, best 10 of 12)</t>
        </is>
      </c>
      <c r="B6" s="47" t="inlineStr">
        <is>
          <t>End of every teaching session: W1-W6 and W8-W13</t>
        </is>
      </c>
      <c r="C6" s="47" t="inlineStr">
        <is>
          <t>Individual, auto-graded</t>
        </is>
      </c>
      <c r="D6" s="58" t="n">
        <v>0.1</v>
      </c>
      <c r="E6" s="47" t="inlineStr">
        <is>
          <t>Five-minute QR-code quiz in the last five minutes of the session. 5 diagnostic questions, 1% each. Instant score and teaching feedback. No resits - the two dropped scores cover absence. A network failure is covered by the published 24-hour response window.</t>
        </is>
      </c>
      <c r="F6" s="47" t="inlineStr">
        <is>
          <t>Auto-marked. Machine-scored, so the marking cost is zero once the question banks exist.</t>
        </is>
      </c>
    </row>
    <row r="7" ht="42" customHeight="1" s="36">
      <c r="A7" s="46" t="inlineStr">
        <is>
          <t>Practical challenges &amp; assignments (best 8 of 11)</t>
        </is>
      </c>
      <c r="B7" s="47" t="inlineStr">
        <is>
          <t>Weeks 1-12</t>
        </is>
      </c>
      <c r="C7" s="47" t="inlineStr">
        <is>
          <t>Individual, auto-graded</t>
        </is>
      </c>
      <c r="D7" s="58" t="n">
        <v>0.1</v>
      </c>
      <c r="E7" s="47" t="inlineStr">
        <is>
          <t>Weekly notebooks, scripts and one-pagers pushed to the repository. Students self-check against visible tests before submitting; the lecturer batch-grades against hidden tests.</t>
        </is>
      </c>
      <c r="F7" s="47" t="inlineStr">
        <is>
          <t>batch_grade.py against the issued spec, combined with calibrated local rubric assessment where required; unresolved submissions remain exceptions</t>
        </is>
      </c>
    </row>
    <row r="8" ht="42" customHeight="1" s="36">
      <c r="A8" s="46" t="inlineStr">
        <is>
          <t>Data Analysis Project</t>
        </is>
      </c>
      <c r="B8" s="47" t="inlineStr">
        <is>
          <t>Launched W5, due W8</t>
        </is>
      </c>
      <c r="C8" s="47" t="inlineStr">
        <is>
          <t>Team of 4-5 (individual log required)</t>
        </is>
      </c>
      <c r="D8" s="58" t="n">
        <v>0.1</v>
      </c>
      <c r="E8" s="47" t="inlineStr">
        <is>
          <t>Cleaned dataset, question-driven analysis notebook, 4+ charts, 1-page findings</t>
        </is>
      </c>
      <c r="F8" s="47" t="inlineStr">
        <is>
          <t>Data Analysis Project rubric (see Rubrics sheet). Local assessment requires deterministic evidence checks and calibrated rubric grading.</t>
        </is>
      </c>
    </row>
    <row r="9" ht="42" customHeight="1" s="36">
      <c r="A9" s="46" t="inlineStr">
        <is>
          <t>PRACTICAL TEST 1 - Data Investigation</t>
        </is>
      </c>
      <c r="B9" s="47" t="inlineStr">
        <is>
          <t>Week 7</t>
        </is>
      </c>
      <c r="C9" s="47" t="inlineStr">
        <is>
          <t>Individual, offline, 2h25</t>
        </is>
      </c>
      <c r="D9" s="58" t="n">
        <v>0.15</v>
      </c>
      <c r="E9" s="47" t="inlineStr">
        <is>
          <t>Investigation notebook + typed reasoning cells in the notebook. Part A answers are entered in a structured answers interface so 52 of the 100 marks are checked deterministically; the remaining 48 require validated written and visual evidence assessment before release.</t>
        </is>
      </c>
      <c r="F9" s="47" t="inlineStr">
        <is>
          <t>Test 1 rubric (see Rubrics sheet). Current draft: 52 executed / 48 evidence marks; task-specific checks and calibration required.</t>
        </is>
      </c>
    </row>
    <row r="10" ht="42" customHeight="1" s="36">
      <c r="A10" s="46" t="inlineStr">
        <is>
          <t>PRACTICAL TEST 2 - End-to-End Engineering ML</t>
        </is>
      </c>
      <c r="B10" s="47" t="inlineStr">
        <is>
          <t>Week 14</t>
        </is>
      </c>
      <c r="C10" s="47" t="inlineStr">
        <is>
          <t>Individual, offline, 2h25</t>
        </is>
      </c>
      <c r="D10" s="58" t="n">
        <v>0.2</v>
      </c>
      <c r="E10" s="47" t="inlineStr">
        <is>
          <t>End-to-end notebook + typed reasoning cells in the notebook. Current executed contracts supply 30 marks of the 100; the remaining 70 require validated evidence and local rubric assessment before release.</t>
        </is>
      </c>
      <c r="F10" s="47" t="inlineStr">
        <is>
          <t>Test 2 rubric (see Rubrics sheet). Current draft: 30 executed / 70 evidence marks; task-specific checks and calibration required.</t>
        </is>
      </c>
    </row>
    <row r="11" ht="42" customHeight="1" s="36">
      <c r="A11" s="46" t="inlineStr">
        <is>
          <t>Engineering ML Project</t>
        </is>
      </c>
      <c r="B11" s="47" t="inlineStr">
        <is>
          <t>Launched W9, milestones W10/W11/W12/W13, due W15</t>
        </is>
      </c>
      <c r="C11" s="47" t="inlineStr">
        <is>
          <t>Team of 4-5 (individual accountability via viva + log)</t>
        </is>
      </c>
      <c r="D11" s="58" t="n">
        <v>0.25</v>
      </c>
      <c r="E11" s="47" t="inlineStr">
        <is>
          <t>Repository, 2-page engineering brief, poster, AI-use declaration, contribution log</t>
        </is>
      </c>
      <c r="F11" s="47" t="inlineStr">
        <is>
          <t>Project rubric (see Rubrics sheet)</t>
        </is>
      </c>
    </row>
    <row r="12" ht="42" customHeight="1" s="36">
      <c r="A12" s="46" t="inlineStr">
        <is>
          <t>Demo, viva &amp; individual reflection</t>
        </is>
      </c>
      <c r="B12" s="47" t="inlineStr">
        <is>
          <t>Week 15</t>
        </is>
      </c>
      <c r="C12" s="47" t="inlineStr">
        <is>
          <t>Individual</t>
        </is>
      </c>
      <c r="D12" s="58" t="n">
        <v>0.1</v>
      </c>
      <c r="E12" s="47" t="inlineStr">
        <is>
          <t>6-minute demo with narration notes, 2 individual typed defence answers, 500-word reflection</t>
        </is>
      </c>
      <c r="F12" s="47" t="inlineStr">
        <is>
          <t>Demo &amp; viva rubric (see Rubrics sheet)</t>
        </is>
      </c>
    </row>
    <row r="13" ht="18" customHeight="1" s="36">
      <c r="A13" s="59" t="inlineStr">
        <is>
          <t>TOTAL</t>
        </is>
      </c>
      <c r="B13" s="60" t="n"/>
      <c r="C13" s="60" t="n"/>
      <c r="D13" s="61">
        <f>SUM(D6:D12)</f>
        <v/>
      </c>
      <c r="E13" s="60" t="n"/>
      <c r="F13" s="60" t="n"/>
    </row>
    <row r="14" ht="25.5" customHeight="1" s="36">
      <c r="A14" s="43" t="inlineStr">
        <is>
          <t>Of which individual</t>
        </is>
      </c>
      <c r="B14" s="44" t="n"/>
      <c r="C14" s="44" t="n"/>
      <c r="D14" s="62">
        <f>D6+D7+D9+D10+D12</f>
        <v/>
      </c>
      <c r="E14" s="44" t="n"/>
      <c r="F14" s="44" t="inlineStr">
        <is>
          <t>Weekly quizzes, weekly challenges, both practical tests, and the demo/viva/reflection are individually assessed.</t>
        </is>
      </c>
    </row>
    <row r="15" ht="25.5" customHeight="1" s="36">
      <c r="A15" s="51" t="inlineStr">
        <is>
          <t>Of which team</t>
        </is>
      </c>
      <c r="B15" s="52" t="n"/>
      <c r="C15" s="52" t="n"/>
      <c r="D15" s="63">
        <f>D8+D11</f>
        <v/>
      </c>
      <c r="E15" s="52" t="n"/>
      <c r="F15" s="52" t="inlineStr">
        <is>
          <t>Shared project marks and individual typed-defence marks remain separate.</t>
        </is>
      </c>
    </row>
    <row r="16" ht="30" customHeight="1" s="36">
      <c r="A16" s="59" t="inlineStr">
        <is>
          <t>Automatic grading coverage</t>
        </is>
      </c>
      <c r="B16" s="60" t="n"/>
      <c r="C16" s="60" t="n"/>
      <c r="D16" s="64" t="inlineStr">
        <is>
          <t>Pending validation</t>
        </is>
      </c>
      <c r="E16" s="60" t="n"/>
      <c r="F16" s="60" t="inlineStr">
        <is>
          <t>Executed checks and local evidence grading require assessment-specific validation. There is no fixed cap or verified percentage for the whole semester.</t>
        </is>
      </c>
    </row>
    <row r="19" ht="19.5" customHeight="1" s="36">
      <c r="A19" s="57" t="inlineStr">
        <is>
          <t>MODEL 2 — ALTERNATIVE, if IUEA mandates a coursework / final assessment split</t>
        </is>
      </c>
    </row>
    <row r="20" ht="31.5" customHeight="1" s="36">
      <c r="A20" s="42" t="inlineStr">
        <is>
          <t>Component</t>
        </is>
      </c>
      <c r="B20" s="42" t="inlineStr">
        <is>
          <t>When</t>
        </is>
      </c>
      <c r="C20" s="42" t="inlineStr">
        <is>
          <t>Individual / team</t>
        </is>
      </c>
      <c r="D20" s="42" t="inlineStr">
        <is>
          <t>Weight</t>
        </is>
      </c>
      <c r="E20" s="42" t="inlineStr">
        <is>
          <t>Note</t>
        </is>
      </c>
      <c r="F20" s="42" t="n"/>
    </row>
    <row r="21" ht="18" customHeight="1" s="36">
      <c r="A21" s="59" t="inlineStr">
        <is>
          <t>CONTINUOUS ASSESSMENT (40%)</t>
        </is>
      </c>
      <c r="B21" s="60" t="n"/>
      <c r="C21" s="60" t="n"/>
      <c r="D21" s="60" t="n"/>
      <c r="E21" s="60" t="n"/>
      <c r="F21" s="60" t="n"/>
    </row>
    <row r="22" ht="19.5" customHeight="1" s="36">
      <c r="A22" s="65" t="inlineStr">
        <is>
          <t>Quizzes (weekly W1-W6, then one sitting per block)</t>
        </is>
      </c>
      <c r="B22" s="47" t="inlineStr">
        <is>
          <t>W1-W6 weekly; end of W10 (Block 1) and W13 (Block 2)</t>
        </is>
      </c>
      <c r="C22" s="47" t="inlineStr">
        <is>
          <t>Individual, auto</t>
        </is>
      </c>
      <c r="D22" s="58" t="n">
        <v>0.1</v>
      </c>
      <c r="E22" s="47" t="inlineStr">
        <is>
          <t>Best 4 of 6 weekly (3 of 5 where W6 is waived) plus both blocks; 50 marks (45)</t>
        </is>
      </c>
      <c r="F22" s="47" t="n"/>
    </row>
    <row r="23" ht="19.5" customHeight="1" s="36">
      <c r="A23" s="65" t="inlineStr">
        <is>
          <t>Practical challenges (weekly W1-W6, then two block packs)</t>
        </is>
      </c>
      <c r="B23" s="47" t="inlineStr">
        <is>
          <t>Weeks 1-6; Block 1 (W8-W10); Block 2 (W11-W12)</t>
        </is>
      </c>
      <c r="C23" s="47" t="inlineStr">
        <is>
          <t>Individual, auto</t>
        </is>
      </c>
      <c r="D23" s="58" t="n">
        <v>0.1</v>
      </c>
      <c r="E23" s="47" t="inlineStr">
        <is>
          <t>Best 4 of 6 weekly (3 of 5) plus both blocks; 180 marks (160)</t>
        </is>
      </c>
      <c r="F23" s="47" t="n"/>
    </row>
    <row r="24" ht="19.5" customHeight="1" s="36">
      <c r="A24" s="65" t="inlineStr">
        <is>
          <t>Data Analysis Project</t>
        </is>
      </c>
      <c r="B24" s="47" t="inlineStr">
        <is>
          <t>Week 8</t>
        </is>
      </c>
      <c r="C24" s="47" t="inlineStr">
        <is>
          <t>Team</t>
        </is>
      </c>
      <c r="D24" s="58" t="n">
        <v>0.1</v>
      </c>
      <c r="E24" s="47" t="inlineStr">
        <is>
          <t>As in Model 1</t>
        </is>
      </c>
      <c r="F24" s="47" t="n"/>
    </row>
    <row r="25" ht="19.5" customHeight="1" s="36">
      <c r="A25" s="65" t="inlineStr">
        <is>
          <t>Practical Test 1</t>
        </is>
      </c>
      <c r="B25" s="47" t="inlineStr">
        <is>
          <t>Week 7</t>
        </is>
      </c>
      <c r="C25" s="47" t="inlineStr">
        <is>
          <t>Individual</t>
        </is>
      </c>
      <c r="D25" s="58" t="n">
        <v>0.1</v>
      </c>
      <c r="E25" s="47" t="inlineStr">
        <is>
          <t>Reduced from 15% in this model</t>
        </is>
      </c>
      <c r="F25" s="47" t="n"/>
    </row>
    <row r="26" ht="18" customHeight="1" s="36">
      <c r="A26" s="59" t="inlineStr">
        <is>
          <t>FINAL ASSESSMENT (60%)</t>
        </is>
      </c>
      <c r="B26" s="60" t="n"/>
      <c r="C26" s="60" t="n"/>
      <c r="D26" s="60" t="n"/>
      <c r="E26" s="60" t="n"/>
      <c r="F26" s="60" t="n"/>
    </row>
    <row r="27" ht="19.5" customHeight="1" s="36">
      <c r="A27" s="65" t="inlineStr">
        <is>
          <t>Practical Test 2</t>
        </is>
      </c>
      <c r="B27" s="47" t="inlineStr">
        <is>
          <t>Week 14</t>
        </is>
      </c>
      <c r="C27" s="47" t="inlineStr">
        <is>
          <t>Individual</t>
        </is>
      </c>
      <c r="D27" s="58" t="n">
        <v>0.2</v>
      </c>
      <c r="E27" s="47" t="inlineStr">
        <is>
          <t>As in Model 1</t>
        </is>
      </c>
      <c r="F27" s="47" t="n"/>
    </row>
    <row r="28" ht="19.5" customHeight="1" s="36">
      <c r="A28" s="65" t="inlineStr">
        <is>
          <t>Engineering ML Project</t>
        </is>
      </c>
      <c r="B28" s="47" t="inlineStr">
        <is>
          <t>Week 15</t>
        </is>
      </c>
      <c r="C28" s="47" t="inlineStr">
        <is>
          <t>Team</t>
        </is>
      </c>
      <c r="D28" s="58" t="n">
        <v>0.3</v>
      </c>
      <c r="E28" s="47" t="inlineStr">
        <is>
          <t>Increased from 25% in this model</t>
        </is>
      </c>
      <c r="F28" s="47" t="n"/>
    </row>
    <row r="29" ht="19.5" customHeight="1" s="36">
      <c r="A29" s="65" t="inlineStr">
        <is>
          <t>Demo, viva &amp; reflection</t>
        </is>
      </c>
      <c r="B29" s="47" t="inlineStr">
        <is>
          <t>Week 15</t>
        </is>
      </c>
      <c r="C29" s="47" t="inlineStr">
        <is>
          <t>Individual</t>
        </is>
      </c>
      <c r="D29" s="58" t="n">
        <v>0.1</v>
      </c>
      <c r="E29" s="47" t="inlineStr">
        <is>
          <t>As in Model 1</t>
        </is>
      </c>
      <c r="F29" s="47" t="n"/>
    </row>
    <row r="30" ht="18" customHeight="1" s="36">
      <c r="A30" s="59" t="inlineStr">
        <is>
          <t>TOTAL</t>
        </is>
      </c>
      <c r="B30" s="60" t="n"/>
      <c r="C30" s="60" t="n"/>
      <c r="D30" s="61">
        <f>D22+D23+D24+D25+D27+D28+D29</f>
        <v/>
      </c>
      <c r="E30" s="60" t="n"/>
      <c r="F30" s="60" t="n"/>
    </row>
    <row r="33" ht="19.5" customHeight="1" s="36">
      <c r="A33" s="57" t="inlineStr">
        <is>
          <t>DESIGN NOTES</t>
        </is>
      </c>
    </row>
    <row r="34" ht="51.75" customHeight="1" s="36">
      <c r="A34" s="40" t="inlineStr">
        <is>
          <t>Why two tests, not one</t>
        </is>
      </c>
      <c r="B34" s="41" t="inlineStr">
        <is>
          <t>The original curriculum sketch carried a single practical test. With the assessment weeks fixed at Weeks 7 and 14, two tests are available and they should examine different things: Week 7 certifies data literacy (can you investigate a dataset?) and Week 14 certifies end-to-end capability (can you build and defend a model?). Splitting them also means a student who struggles in October is not sunk.</t>
        </is>
      </c>
    </row>
    <row r="35" ht="51.75" customHeight="1" s="36">
      <c r="A35" s="40" t="inlineStr">
        <is>
          <t>Why the tests run offline</t>
        </is>
      </c>
      <c r="B35" s="41" t="inlineStr">
        <is>
          <t>An invigilated lab and approved-materials rules support the unaided assessment. Offline access alone does not block a local AI model. AI assistance is permitted and actively taught in coursework, where students explain and defend their work; it is excluded from the two tests, which certify unaided capability. Students are told the reasoning in Week 6, not on the day.</t>
        </is>
      </c>
    </row>
    <row r="36" ht="51.75" customHeight="1" s="36">
      <c r="A36" s="40" t="inlineStr">
        <is>
          <t>Why 65% individual</t>
        </is>
      </c>
      <c r="B36" s="41" t="inlineStr">
        <is>
          <t>With teams of 4–5 and up to 22 teams in Cohort A, a team-heavy mark scheme would let a weak student pass on a strong teammate's work. Twelve individual quizzes, two individual tests, individually marked weekly challenges, and individual typed defence and reflection provide individual evidence alongside shared project marks.</t>
        </is>
      </c>
    </row>
    <row r="37" ht="51.75" customHeight="1" s="36">
      <c r="A37" s="40" t="inlineStr">
        <is>
          <t>Why continuous assessment</t>
        </is>
      </c>
      <c r="B37" s="41" t="inlineStr">
        <is>
          <t>Twelve auto-graded weekly quizzes plus eleven auto-graded weekly submissions mean 20% of the mark comes from these recurring components. Quiz feedback is immediate; local assignment grading runs after collection, and the lecturer gets a weekly engagement signal across ~195 students that is otherwise invisible until the first test. See the 'Assessment Tech Stack' and 'Marking Load' sheets for how this is affordable for one person. From Week 8 the quizzes and assignments are set after every three classes (Block 1 = W8-W10, Block 2 = W11-W13) instead of weekly; see Block_Assessment_Arrangement_2026-10-30.md.</t>
        </is>
      </c>
    </row>
    <row r="38" ht="51.75" customHeight="1" s="36">
      <c r="A38" s="40" t="inlineStr">
        <is>
          <t>Why nothing rewards accuracy alone</t>
        </is>
      </c>
      <c r="B38" s="41" t="inlineStr">
        <is>
          <t>Across all six rubrics, method, reasoning, validation and interpretation carry far more weight than the score achieved. A student whose model performs poorly but who diagnoses why, and says so, should out-score a student who copies a Kaggle notebook to a better number. The Week 15 recognition categories reinforce this: there is no prize for highest accuracy.</t>
        </is>
      </c>
    </row>
    <row r="39" ht="51.75" customHeight="1" s="36">
      <c r="A39" s="40" t="inlineStr">
        <is>
          <t>Late, absent and resit policy</t>
        </is>
      </c>
      <c r="B39" s="41" t="inlineStr">
        <is>
          <t>To be aligned with IUEA regulations before Week 5. As a minimum, agree in advance: the penalty for late coursework, the procedure for a student who misses a test week with cause, and whether a resit practical is available. Publish it in the syllabus, not by announcement.</t>
        </is>
      </c>
    </row>
    <row r="40" ht="51.75" customHeight="1" s="36">
      <c r="A40" s="40" t="inlineStr">
        <is>
          <t>Moderation</t>
        </is>
      </c>
      <c r="B40" s="41" t="inlineStr">
        <is>
          <t>Sample-moderate 10% of every component, and 100% of any script within 3 marks of a grade boundary. Publish every rubric before the work is set — students should never meet a rubric for the first time in an assessment.</t>
        </is>
      </c>
    </row>
  </sheetData>
  <mergeCells count="12">
    <mergeCell ref="A2:F2"/>
    <mergeCell ref="A33:F33"/>
    <mergeCell ref="B39:F39"/>
    <mergeCell ref="B38:F38"/>
    <mergeCell ref="A19:F19"/>
    <mergeCell ref="B34:F34"/>
    <mergeCell ref="A1:F1"/>
    <mergeCell ref="B37:F37"/>
    <mergeCell ref="A4:F4"/>
    <mergeCell ref="B36:F36"/>
    <mergeCell ref="B40:F40"/>
    <mergeCell ref="B35:F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A9D08E"/>
    <outlinePr summaryBelow="1" summaryRight="1"/>
    <pageSetUpPr fitToPage="0"/>
  </sheetPr>
  <dimension ref="A1:D6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35" min="1" max="1"/>
    <col width="9" customWidth="1" style="35" min="2" max="2"/>
    <col width="96" customWidth="1" style="35" min="3" max="3"/>
    <col width="40" customWidth="1" style="35" min="4" max="4"/>
  </cols>
  <sheetData>
    <row r="1" ht="25.5" customHeight="1" s="36">
      <c r="A1" s="37" t="inlineStr">
        <is>
          <t>Assessment rubrics</t>
        </is>
      </c>
    </row>
    <row r="2" ht="18" customHeight="1" s="36">
      <c r="A2" s="38" t="inlineStr">
        <is>
          <t>Published to students before the work is set. Criterion weights sum to 100 by formula.</t>
        </is>
      </c>
    </row>
    <row r="4" ht="19.5" customHeight="1" s="36">
      <c r="A4" s="57" t="inlineStr">
        <is>
          <t>Engineering ML Project (25%) - as specified by the lecturer</t>
        </is>
      </c>
    </row>
    <row r="5" ht="21.75" customHeight="1" s="36">
      <c r="A5" s="42" t="inlineStr">
        <is>
          <t>Criterion</t>
        </is>
      </c>
      <c r="B5" s="42" t="inlineStr">
        <is>
          <t>Marks</t>
        </is>
      </c>
      <c r="C5" s="42" t="inlineStr">
        <is>
          <t>What earns the marks</t>
        </is>
      </c>
      <c r="D5" s="42" t="inlineStr">
        <is>
          <t>Marker note</t>
        </is>
      </c>
    </row>
    <row r="6" ht="43.5" customHeight="1" s="36">
      <c r="A6" s="46" t="inlineStr">
        <is>
          <t>Problem definition</t>
        </is>
      </c>
      <c r="B6" s="65" t="n">
        <v>15</v>
      </c>
      <c r="C6" s="47" t="inlineStr">
        <is>
          <t>The engineering problem is real, specific and bounded. The ML task is correctly derived from it. The target variable is justified, not merely available.</t>
        </is>
      </c>
      <c r="D6" s="47" t="n"/>
    </row>
    <row r="7" ht="43.5" customHeight="1" s="36">
      <c r="A7" s="46" t="inlineStr">
        <is>
          <t>Data understanding</t>
        </is>
      </c>
      <c r="B7" s="65" t="n">
        <v>15</v>
      </c>
      <c r="C7" s="47" t="inlineStr">
        <is>
          <t>Provenance, licence and collection method stated. Defects found and handled with justification. Limitations of the data acknowledged before any modelling.</t>
        </is>
      </c>
      <c r="D7" s="47" t="n"/>
    </row>
    <row r="8" ht="43.5" customHeight="1" s="36">
      <c r="A8" s="46" t="inlineStr">
        <is>
          <t>Methodology</t>
        </is>
      </c>
      <c r="B8" s="65" t="n">
        <v>20</v>
      </c>
      <c r="C8" s="47" t="inlineStr">
        <is>
          <t>Appropriate models chosen and compared under one protocol. Pipeline used. Hyperparameters handled sensibly. Choices explained rather than defaulted to.</t>
        </is>
      </c>
      <c r="D8" s="47" t="n"/>
    </row>
    <row r="9" ht="43.5" customHeight="1" s="36">
      <c r="A9" s="46" t="inlineStr">
        <is>
          <t>Engineering reasoning</t>
        </is>
      </c>
      <c r="B9" s="65" t="n">
        <v>20</v>
      </c>
      <c r="C9" s="47" t="inlineStr">
        <is>
          <t>Domain knowledge visibly enters the work through features, banding, metric choice or interpretation. The result is discussed as engineering, not as a score.</t>
        </is>
      </c>
      <c r="D9" s="47" t="n"/>
    </row>
    <row r="10" ht="43.5" customHeight="1" s="36">
      <c r="A10" s="46" t="inlineStr">
        <is>
          <t>Validation</t>
        </is>
      </c>
      <c r="B10" s="65" t="n">
        <v>15</v>
      </c>
      <c r="C10" s="47" t="inlineStr">
        <is>
          <t>Correct train/test discipline, cross-validation with a reported spread, leakage explicitly checked and ruled out, metric justified against the cost of error.</t>
        </is>
      </c>
      <c r="D10" s="47" t="n"/>
    </row>
    <row r="11" ht="43.5" customHeight="1" s="36">
      <c r="A11" s="46" t="inlineStr">
        <is>
          <t>Communication</t>
        </is>
      </c>
      <c r="B11" s="65" t="n">
        <v>10</v>
      </c>
      <c r="C11" s="47" t="inlineStr">
        <is>
          <t>The 2-page brief is readable by a non-specialist engineer. Charts answer questions and are captioned with findings. Uncertainty and limitations stated honestly.</t>
        </is>
      </c>
      <c r="D11" s="47" t="n"/>
    </row>
    <row r="12" ht="43.5" customHeight="1" s="36">
      <c r="A12" s="46" t="inlineStr">
        <is>
          <t>Reproducibility &amp; documentation</t>
        </is>
      </c>
      <c r="B12" s="65" t="n">
        <v>5</v>
      </c>
      <c r="C12" s="47" t="inlineStr">
        <is>
          <t>Repository runs from a clean clone. README complete. requirements.txt present. Seeds set. AI use declared. Contribution log present.</t>
        </is>
      </c>
      <c r="D12" s="47" t="n"/>
    </row>
    <row r="13" ht="18" customHeight="1" s="36">
      <c r="A13" s="59" t="inlineStr">
        <is>
          <t>TOTAL</t>
        </is>
      </c>
      <c r="B13" s="59">
        <f>SUM(B6:B12)</f>
        <v/>
      </c>
      <c r="C13" s="60" t="n"/>
      <c r="D13" s="60" t="n"/>
    </row>
    <row r="15" ht="19.5" customHeight="1" s="36">
      <c r="A15" s="57" t="inlineStr">
        <is>
          <t>Practical Test 1 - Data Investigation (15%)</t>
        </is>
      </c>
    </row>
    <row r="16" ht="21.75" customHeight="1" s="36">
      <c r="A16" s="42" t="inlineStr">
        <is>
          <t>Criterion</t>
        </is>
      </c>
      <c r="B16" s="42" t="inlineStr">
        <is>
          <t>Marks</t>
        </is>
      </c>
      <c r="C16" s="42" t="inlineStr">
        <is>
          <t>What earns the marks</t>
        </is>
      </c>
      <c r="D16" s="42" t="inlineStr">
        <is>
          <t>Marker note</t>
        </is>
      </c>
    </row>
    <row r="17" ht="43.5" customHeight="1" s="36">
      <c r="A17" s="46" t="inlineStr">
        <is>
          <t>Loading &amp; profiling</t>
        </is>
      </c>
      <c r="B17" s="65" t="n">
        <v>15</v>
      </c>
      <c r="C17" s="47" t="inlineStr">
        <is>
          <t>Data loaded correctly; shape, types and summary produced; the dataset is described accurately in the student's own words.</t>
        </is>
      </c>
      <c r="D17" s="47" t="n"/>
    </row>
    <row r="18" ht="43.5" customHeight="1" s="36">
      <c r="A18" s="46" t="inlineStr">
        <is>
          <t>Cleaning decisions &amp; justification</t>
        </is>
      </c>
      <c r="B18" s="65" t="n">
        <v>20</v>
      </c>
      <c r="C18" s="47" t="inlineStr">
        <is>
          <t>Defects found. Each handling decision stated AND justified. Marks are for the justification - an unjustified correct fix scores roughly half.</t>
        </is>
      </c>
      <c r="D18" s="47" t="n"/>
    </row>
    <row r="19" ht="43.5" customHeight="1" s="36">
      <c r="A19" s="46" t="inlineStr">
        <is>
          <t>Visualisation</t>
        </is>
      </c>
      <c r="B19" s="65" t="n">
        <v>20</v>
      </c>
      <c r="C19" s="47" t="inlineStr">
        <is>
          <t>Three charts, each captioned with the question it answers. Correct chart type. Axes labelled with units. No decoration without purpose.</t>
        </is>
      </c>
      <c r="D19" s="47" t="n"/>
    </row>
    <row r="20" ht="43.5" customHeight="1" s="36">
      <c r="A20" s="46" t="inlineStr">
        <is>
          <t>Findings</t>
        </is>
      </c>
      <c r="B20" s="65" t="n">
        <v>20</v>
      </c>
      <c r="C20" s="47" t="inlineStr">
        <is>
          <t>Five findings, supported by evidence from the data, stated with correct magnitudes and units. A wrong number loses the mark even if the method was right.</t>
        </is>
      </c>
      <c r="D20" s="47" t="n"/>
    </row>
    <row r="21" ht="43.5" customHeight="1" s="36">
      <c r="A21" s="46" t="inlineStr">
        <is>
          <t>Engineering interpretation</t>
        </is>
      </c>
      <c r="B21" s="65" t="n">
        <v>15</v>
      </c>
      <c r="C21" s="47" t="inlineStr">
        <is>
          <t>One recommendation that an engineer could act on, plus a clear statement of what further data would be needed.</t>
        </is>
      </c>
      <c r="D21" s="47" t="n"/>
    </row>
    <row r="22" ht="43.5" customHeight="1" s="36">
      <c r="A22" s="46" t="inlineStr">
        <is>
          <t>Clarity &amp; reproducibility</t>
        </is>
      </c>
      <c r="B22" s="65" t="n">
        <v>10</v>
      </c>
      <c r="C22" s="47" t="inlineStr">
        <is>
          <t>Notebook runs top to bottom. Logical order. Markdown explains intent. No dead code.</t>
        </is>
      </c>
      <c r="D22" s="47" t="n"/>
    </row>
    <row r="23" ht="18" customHeight="1" s="36">
      <c r="A23" s="59" t="inlineStr">
        <is>
          <t>TOTAL</t>
        </is>
      </c>
      <c r="B23" s="59">
        <f>SUM(B17:B22)</f>
        <v/>
      </c>
      <c r="C23" s="60" t="n"/>
      <c r="D23" s="60" t="n"/>
    </row>
    <row r="25" ht="19.5" customHeight="1" s="36">
      <c r="A25" s="57" t="inlineStr">
        <is>
          <t>Practical Test 2 - End-to-End Engineering ML (20%)</t>
        </is>
      </c>
    </row>
    <row r="26" ht="21.75" customHeight="1" s="36">
      <c r="A26" s="42" t="inlineStr">
        <is>
          <t>Criterion</t>
        </is>
      </c>
      <c r="B26" s="42" t="inlineStr">
        <is>
          <t>Marks</t>
        </is>
      </c>
      <c r="C26" s="42" t="inlineStr">
        <is>
          <t>What earns the marks</t>
        </is>
      </c>
      <c r="D26" s="42" t="inlineStr">
        <is>
          <t>Marker note</t>
        </is>
      </c>
    </row>
    <row r="27" ht="43.5" customHeight="1" s="36">
      <c r="A27" s="46" t="inlineStr">
        <is>
          <t>Task framing</t>
        </is>
      </c>
      <c r="B27" s="65" t="n">
        <v>10</v>
      </c>
      <c r="C27" s="47" t="inlineStr">
        <is>
          <t>The ML task is correctly identified, the target named, and regression vs classification correctly chosen and justified.</t>
        </is>
      </c>
      <c r="D27" s="47" t="n"/>
    </row>
    <row r="28" ht="43.5" customHeight="1" s="36">
      <c r="A28" s="46" t="inlineStr">
        <is>
          <t>Data preparation &amp; leakage control</t>
        </is>
      </c>
      <c r="B28" s="65" t="n">
        <v>20</v>
      </c>
      <c r="C28" s="47" t="inlineStr">
        <is>
          <t>Cleaning and encoding appropriate. Split made before any fitting. Pipeline used. No leakage present - a leak found by the marker caps this criterion at zero.</t>
        </is>
      </c>
      <c r="D28" s="47" t="n"/>
    </row>
    <row r="29" ht="43.5" customHeight="1" s="36">
      <c r="A29" s="46" t="inlineStr">
        <is>
          <t>Modelling protocol</t>
        </is>
      </c>
      <c r="B29" s="65" t="n">
        <v>20</v>
      </c>
      <c r="C29" s="47" t="inlineStr">
        <is>
          <t>At least two models built and compared under identical conditions. Baseline included. Hyperparameters handled sensibly.</t>
        </is>
      </c>
      <c r="D29" s="47" t="n"/>
    </row>
    <row r="30" ht="43.5" customHeight="1" s="36">
      <c r="A30" s="46" t="inlineStr">
        <is>
          <t>Evaluation &amp; metric justification</t>
        </is>
      </c>
      <c r="B30" s="65" t="n">
        <v>20</v>
      </c>
      <c r="C30" s="47" t="inlineStr">
        <is>
          <t>Correct metrics computed. Metric choice defended against the cost of error. Cross-validation reported with a spread, not a single number.</t>
        </is>
      </c>
      <c r="D30" s="47" t="n"/>
    </row>
    <row r="31" ht="43.5" customHeight="1" s="36">
      <c r="A31" s="46" t="inlineStr">
        <is>
          <t>Engineering interpretation &amp; limits</t>
        </is>
      </c>
      <c r="B31" s="65" t="n">
        <v>20</v>
      </c>
      <c r="C31" s="47" t="inlineStr">
        <is>
          <t>The result is stated in physical or operational units. Three genuine limitations given. A clear position on whether it should be deployed.</t>
        </is>
      </c>
      <c r="D31" s="47" t="n"/>
    </row>
    <row r="32" ht="43.5" customHeight="1" s="36">
      <c r="A32" s="46" t="inlineStr">
        <is>
          <t>Code clarity</t>
        </is>
      </c>
      <c r="B32" s="65" t="n">
        <v>10</v>
      </c>
      <c r="C32" s="47" t="inlineStr">
        <is>
          <t>Runs top to bottom. Readable. Commented where the intent is not obvious.</t>
        </is>
      </c>
      <c r="D32" s="47" t="n"/>
    </row>
    <row r="33" ht="18" customHeight="1" s="36">
      <c r="A33" s="59" t="inlineStr">
        <is>
          <t>TOTAL</t>
        </is>
      </c>
      <c r="B33" s="59">
        <f>SUM(B27:B32)</f>
        <v/>
      </c>
      <c r="C33" s="60" t="n"/>
      <c r="D33" s="60" t="n"/>
    </row>
    <row r="35" ht="19.5" customHeight="1" s="36">
      <c r="A35" s="57" t="inlineStr">
        <is>
          <t>Data Analysis Project (10%)</t>
        </is>
      </c>
    </row>
    <row r="36" ht="21.75" customHeight="1" s="36">
      <c r="A36" s="42" t="inlineStr">
        <is>
          <t>Criterion</t>
        </is>
      </c>
      <c r="B36" s="42" t="inlineStr">
        <is>
          <t>Marks</t>
        </is>
      </c>
      <c r="C36" s="42" t="inlineStr">
        <is>
          <t>What earns the marks</t>
        </is>
      </c>
      <c r="D36" s="42" t="inlineStr">
        <is>
          <t>Marker note</t>
        </is>
      </c>
    </row>
    <row r="37" ht="43.5" customHeight="1" s="36">
      <c r="A37" s="46" t="inlineStr">
        <is>
          <t>Question &amp; dataset fit</t>
        </is>
      </c>
      <c r="B37" s="65" t="n">
        <v>20</v>
      </c>
      <c r="C37" s="47" t="inlineStr">
        <is>
          <t>A real engineering question is stated, and the chosen dataset can actually answer it. Provenance and licence stated.</t>
        </is>
      </c>
      <c r="D37" s="47" t="n"/>
    </row>
    <row r="38" ht="43.5" customHeight="1" s="36">
      <c r="A38" s="46" t="inlineStr">
        <is>
          <t>Data quality work</t>
        </is>
      </c>
      <c r="B38" s="65" t="n">
        <v>25</v>
      </c>
      <c r="C38" s="47" t="inlineStr">
        <is>
          <t>Defects found and handled with written justification. A data quality statement is present.</t>
        </is>
      </c>
      <c r="D38" s="47" t="n"/>
    </row>
    <row r="39" ht="43.5" customHeight="1" s="36">
      <c r="A39" s="46" t="inlineStr">
        <is>
          <t>Analysis &amp; visualisation</t>
        </is>
      </c>
      <c r="B39" s="65" t="n">
        <v>30</v>
      </c>
      <c r="C39" s="47" t="inlineStr">
        <is>
          <t>Four or more charts, each answering a stated question. Correct chart types, labelled axes, findings in the captions.</t>
        </is>
      </c>
      <c r="D39" s="47" t="n"/>
    </row>
    <row r="40" ht="43.5" customHeight="1" s="36">
      <c r="A40" s="46" t="inlineStr">
        <is>
          <t>Findings &amp; interpretation</t>
        </is>
      </c>
      <c r="B40" s="65" t="n">
        <v>20</v>
      </c>
      <c r="C40" s="47" t="inlineStr">
        <is>
          <t>Conclusions supported by the analysis, stated in engineering terms, with limitations acknowledged.</t>
        </is>
      </c>
      <c r="D40" s="47" t="n"/>
    </row>
    <row r="41" ht="43.5" customHeight="1" s="36">
      <c r="A41" s="46" t="inlineStr">
        <is>
          <t>Individual contribution log</t>
        </is>
      </c>
      <c r="B41" s="65" t="n">
        <v>5</v>
      </c>
      <c r="C41" s="47" t="inlineStr">
        <is>
          <t>Present, specific, and consistent with the repository's commit history.</t>
        </is>
      </c>
      <c r="D41" s="47" t="n"/>
    </row>
    <row r="42" ht="18" customHeight="1" s="36">
      <c r="A42" s="59" t="inlineStr">
        <is>
          <t>TOTAL</t>
        </is>
      </c>
      <c r="B42" s="59">
        <f>SUM(B37:B41)</f>
        <v/>
      </c>
      <c r="C42" s="60" t="n"/>
      <c r="D42" s="60" t="n"/>
    </row>
    <row r="44" ht="19.5" customHeight="1" s="36">
      <c r="A44" s="57" t="inlineStr">
        <is>
          <t>Weekly quizzes (10%) - how the five questions in each are marked</t>
        </is>
      </c>
    </row>
    <row r="45" ht="21.75" customHeight="1" s="36">
      <c r="A45" s="42" t="inlineStr">
        <is>
          <t>Criterion</t>
        </is>
      </c>
      <c r="B45" s="42" t="inlineStr">
        <is>
          <t>Marks</t>
        </is>
      </c>
      <c r="C45" s="42" t="inlineStr">
        <is>
          <t>What earns the marks</t>
        </is>
      </c>
      <c r="D45" s="42" t="inlineStr">
        <is>
          <t>Marker note</t>
        </is>
      </c>
    </row>
    <row r="46" ht="43.5" customHeight="1" s="36">
      <c r="A46" s="46" t="inlineStr">
        <is>
          <t>Diagnosis of a silent wrong answer</t>
        </is>
      </c>
      <c r="B46" s="65" t="n">
        <v>40</v>
      </c>
      <c r="C46" s="47" t="inlineStr">
        <is>
          <t>Two of the five questions show code that runs cleanly and returns a wrong result. The student must name the cause. Auto-marked, single correct option, distractors chosen to be the plausible wrong diagnoses.</t>
        </is>
      </c>
      <c r="D46" s="47" t="n"/>
    </row>
    <row r="47" ht="43.5" customHeight="1" s="36">
      <c r="A47" s="46" t="inlineStr">
        <is>
          <t>Reading an error or a traceback</t>
        </is>
      </c>
      <c r="B47" s="65" t="n">
        <v>20</v>
      </c>
      <c r="C47" s="47" t="inlineStr">
        <is>
          <t>One question shows a traceback or a failing cell. The student identifies the offending line or the cause. Auto-marked.</t>
        </is>
      </c>
      <c r="D47" s="47" t="n"/>
    </row>
    <row r="48" ht="43.5" customHeight="1" s="36">
      <c r="A48" s="46" t="inlineStr">
        <is>
          <t>Interpreting an output, chart or table</t>
        </is>
      </c>
      <c r="B48" s="65" t="n">
        <v>20</v>
      </c>
      <c r="C48" s="47" t="inlineStr">
        <is>
          <t>One question supplies a real output - a describe(), a confusion matrix, an ablation table - and asks what it means for the engineering problem. Auto-marked.</t>
        </is>
      </c>
      <c r="D48" s="47" t="n"/>
    </row>
    <row r="49" ht="43.5" customHeight="1" s="36">
      <c r="A49" s="46" t="inlineStr">
        <is>
          <t>Judgement under a stated constraint</t>
        </is>
      </c>
      <c r="B49" s="65" t="n">
        <v>20</v>
      </c>
      <c r="C49" s="47" t="inlineStr">
        <is>
          <t>One question gives a constraint (a cost, a false-alarm budget, a regulator) and asks which choice follows. Auto-marked, but the distractors are all defensible in the absence of the constraint, so the constraint has to be read.</t>
        </is>
      </c>
      <c r="D49" s="47" t="n"/>
    </row>
    <row r="50" ht="18" customHeight="1" s="36">
      <c r="A50" s="59" t="inlineStr">
        <is>
          <t>TOTAL</t>
        </is>
      </c>
      <c r="B50" s="59">
        <f>SUM(B46:B49)</f>
        <v/>
      </c>
      <c r="C50" s="60" t="n"/>
      <c r="D50" s="60" t="n"/>
    </row>
    <row r="52" ht="19.5" customHeight="1" s="36">
      <c r="A52" s="57" t="inlineStr">
        <is>
          <t>Demo, viva &amp; individual reflection (10%)</t>
        </is>
      </c>
    </row>
    <row r="53" ht="21.75" customHeight="1" s="36">
      <c r="A53" s="42" t="inlineStr">
        <is>
          <t>Criterion</t>
        </is>
      </c>
      <c r="B53" s="42" t="inlineStr">
        <is>
          <t>Marks</t>
        </is>
      </c>
      <c r="C53" s="42" t="inlineStr">
        <is>
          <t>What earns the marks</t>
        </is>
      </c>
      <c r="D53" s="42" t="inlineStr">
        <is>
          <t>Marker note</t>
        </is>
      </c>
    </row>
    <row r="54" ht="43.5" customHeight="1" s="36">
      <c r="A54" s="46" t="inlineStr">
        <is>
          <t>Presentation evidence</t>
        </is>
      </c>
      <c r="B54" s="65" t="n">
        <v>35</v>
      </c>
      <c r="C54" s="47" t="inlineStr">
        <is>
          <t>Slides and narration notes explain the question, method, evidence and limitations for an engineering audience. The local text grader does not assess visual styling or spoken delivery.</t>
        </is>
      </c>
      <c r="D54" s="47" t="n"/>
    </row>
    <row r="55" ht="43.5" customHeight="1" s="36">
      <c r="A55" s="46" t="inlineStr">
        <is>
          <t>Individual written defence</t>
        </is>
      </c>
      <c r="B55" s="65" t="n">
        <v>40</v>
      </c>
      <c r="C55" s="47" t="inlineStr">
        <is>
          <t>Two typed answers about the student's own repository identify specific cells/results and explain the decisions. Credit is based on the submitted evidence; live questioning is formative.</t>
        </is>
      </c>
      <c r="D55" s="47" t="n"/>
    </row>
    <row r="56" ht="43.5" customHeight="1" s="36">
      <c r="A56" s="46" t="inlineStr">
        <is>
          <t>Reflection</t>
        </is>
      </c>
      <c r="B56" s="65" t="n">
        <v>20</v>
      </c>
      <c r="C56" s="47" t="inlineStr">
        <is>
          <t>500 words. Specific about what changed since Week 1, what remains difficult, and two concrete Semester 2 goals. Generic reflection scores low.</t>
        </is>
      </c>
      <c r="D56" s="47" t="n"/>
    </row>
    <row r="57" ht="43.5" customHeight="1" s="36">
      <c r="A57" s="46" t="inlineStr">
        <is>
          <t>AI-use declaration</t>
        </is>
      </c>
      <c r="B57" s="65" t="n">
        <v>5</v>
      </c>
      <c r="C57" s="47" t="inlineStr">
        <is>
          <t>Present, complete and plausible against the repository history.</t>
        </is>
      </c>
      <c r="D57" s="47" t="n"/>
    </row>
    <row r="58" ht="18" customHeight="1" s="36">
      <c r="A58" s="59" t="inlineStr">
        <is>
          <t>TOTAL</t>
        </is>
      </c>
      <c r="B58" s="59">
        <f>SUM(B54:B57)</f>
        <v/>
      </c>
      <c r="C58" s="60" t="n"/>
      <c r="D58" s="60" t="n"/>
    </row>
    <row r="60" ht="48" customHeight="1" s="36">
      <c r="A60" s="45" t="inlineStr">
        <is>
          <t>Apply the published execution, evidence and explanation criteria. Missing justification affects its specified criterion; there is no additional whole-submission penalty based on a live answer. Individual typed defence and reflection are separate from shared project marks. Live and peer feedback are formative.</t>
        </is>
      </c>
    </row>
  </sheetData>
  <mergeCells count="9">
    <mergeCell ref="A1:D1"/>
    <mergeCell ref="A35:D35"/>
    <mergeCell ref="A4:D4"/>
    <mergeCell ref="A52:D52"/>
    <mergeCell ref="A15:D15"/>
    <mergeCell ref="A25:D25"/>
    <mergeCell ref="A2:D2"/>
    <mergeCell ref="A60:D60"/>
    <mergeCell ref="A44:D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4472C4"/>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35" min="1" max="1"/>
    <col width="14" customWidth="1" style="35" min="2" max="2"/>
    <col width="56" customWidth="1" style="35" min="3" max="3"/>
    <col width="40" customWidth="1" style="35" min="4" max="4"/>
    <col width="76" customWidth="1" style="35" min="5" max="5"/>
  </cols>
  <sheetData>
    <row r="1" ht="25.5" customHeight="1" s="36">
      <c r="A1" s="37" t="inlineStr">
        <is>
          <t>Tool rollout — every tool introduced by the problem it solves</t>
        </is>
      </c>
    </row>
    <row r="2" ht="18" customHeight="1" s="36">
      <c r="A2" s="38" t="inlineStr">
        <is>
          <t>No tool is named before the problem that needs it. This is what prevents tool fatigue.</t>
        </is>
      </c>
    </row>
    <row r="4" ht="31.5" customHeight="1" s="36">
      <c r="A4" s="42" t="inlineStr">
        <is>
          <t>Tool</t>
        </is>
      </c>
      <c r="B4" s="42" t="inlineStr">
        <is>
          <t>Week introduced</t>
        </is>
      </c>
      <c r="C4" s="42" t="inlineStr">
        <is>
          <t>What problem does this tool solve?</t>
        </is>
      </c>
      <c r="D4" s="42" t="inlineStr">
        <is>
          <t>First use in class</t>
        </is>
      </c>
      <c r="E4" s="42" t="inlineStr">
        <is>
          <t>Notes and cautions</t>
        </is>
      </c>
    </row>
    <row r="5" ht="33.75" customHeight="1" s="36">
      <c r="A5" s="46" t="inlineStr">
        <is>
          <t>GitHub / Kaggle accounts</t>
        </is>
      </c>
      <c r="B5" s="65" t="n">
        <v>1</v>
      </c>
      <c r="C5" s="47" t="inlineStr">
        <is>
          <t>Where will my work live, and where will I find data?</t>
        </is>
      </c>
      <c r="D5" s="47" t="inlineStr">
        <is>
          <t>Account creation only</t>
        </is>
      </c>
      <c r="E5" s="47" t="inlineStr">
        <is>
          <t>No installation in Week 1 - nobody is blocked by hardware on day one.</t>
        </is>
      </c>
    </row>
    <row r="6" ht="33.75" customHeight="1" s="36">
      <c r="A6" s="48" t="inlineStr">
        <is>
          <t>Git &amp; GitHub</t>
        </is>
      </c>
      <c r="B6" s="66" t="n">
        <v>2</v>
      </c>
      <c r="C6" s="49" t="inlineStr">
        <is>
          <t>How do I keep versions, and prove who did what?</t>
        </is>
      </c>
      <c r="D6" s="49" t="inlineStr">
        <is>
          <t>First commit and push</t>
        </is>
      </c>
      <c r="E6" s="49" t="inlineStr">
        <is>
          <t>Commit early and often; branches deferred to Week 11 where they have an obvious purpose.</t>
        </is>
      </c>
    </row>
    <row r="7" ht="33.75" customHeight="1" s="36">
      <c r="A7" s="46" t="inlineStr">
        <is>
          <t>Jupyter Notebook</t>
        </is>
      </c>
      <c r="B7" s="65" t="n">
        <v>2</v>
      </c>
      <c r="C7" s="47" t="inlineStr">
        <is>
          <t>Where can I experiment with data and see results immediately?</t>
        </is>
      </c>
      <c r="D7" s="47" t="inlineStr">
        <is>
          <t>First notebook</t>
        </is>
      </c>
      <c r="E7" s="47" t="inlineStr">
        <is>
          <t>Teach the out-of-order-cell trap deliberately in Week 2, not accidentally in Week 14.</t>
        </is>
      </c>
    </row>
    <row r="8" ht="33.75" customHeight="1" s="36">
      <c r="A8" s="48" t="inlineStr">
        <is>
          <t>Python 3.11+ &amp; pip</t>
        </is>
      </c>
      <c r="B8" s="66" t="n">
        <v>2</v>
      </c>
      <c r="C8" s="49" t="inlineStr">
        <is>
          <t>What actually runs my instructions?</t>
        </is>
      </c>
      <c r="D8" s="49" t="inlineStr">
        <is>
          <t>hello_engineering.py</t>
        </is>
      </c>
      <c r="E8" s="49" t="inlineStr">
        <is>
          <t>Colab-first Week 2; prepared lab Python is the offline fallback.</t>
        </is>
      </c>
    </row>
    <row r="9" ht="33.75" customHeight="1" s="36">
      <c r="A9" s="46" t="inlineStr">
        <is>
          <t>Terminal / command line</t>
        </is>
      </c>
      <c r="B9" s="65" t="n">
        <v>2</v>
      </c>
      <c r="C9" s="47" t="inlineStr">
        <is>
          <t>How do I tell the computer where things are?</t>
        </is>
      </c>
      <c r="D9" s="47" t="inlineStr">
        <is>
          <t>pwd, ls, cd, mkdir</t>
        </is>
      </c>
      <c r="E9" s="47" t="inlineStr">
        <is>
          <t>Four commands only. Resist the temptation to teach shell scripting.</t>
        </is>
      </c>
    </row>
    <row r="10" ht="33.75" customHeight="1" s="36">
      <c r="A10" s="48" t="inlineStr">
        <is>
          <t>VS Code + Python/Jupyter extensions</t>
        </is>
      </c>
      <c r="B10" s="66" t="n">
        <v>2</v>
      </c>
      <c r="C10" s="49" t="inlineStr">
        <is>
          <t>Where do I write, run and debug real code?</t>
        </is>
      </c>
      <c r="D10" s="49" t="inlineStr">
        <is>
          <t>First script</t>
        </is>
      </c>
      <c r="E10" s="49" t="inlineStr">
        <is>
          <t>Pre-install extensions on lab machines; they are a large download.</t>
        </is>
      </c>
    </row>
    <row r="11" ht="33.75" customHeight="1" s="36">
      <c r="A11" s="46" t="inlineStr">
        <is>
          <t>AI coding assistant</t>
        </is>
      </c>
      <c r="B11" s="65" t="n">
        <v>3</v>
      </c>
      <c r="C11" s="47" t="inlineStr">
        <is>
          <t>How do I get unstuck without outsourcing my thinking?</t>
        </is>
      </c>
      <c r="D11" s="47" t="inlineStr">
        <is>
          <t>Explaining an error message</t>
        </is>
      </c>
      <c r="E11" s="47" t="inlineStr">
        <is>
          <t>Introduced in stages: explain an error (W3) -&gt; compare approaches (W6) -&gt; audit my pipeline for leakage (W10) -&gt; permitted with a log in the W12 challenge and in projects. Prohibited in both tests.</t>
        </is>
      </c>
    </row>
    <row r="12" ht="33.75" customHeight="1" s="36">
      <c r="A12" s="48" t="inlineStr">
        <is>
          <t>VS Code debugger</t>
        </is>
      </c>
      <c r="B12" s="66" t="n">
        <v>3</v>
      </c>
      <c r="C12" s="49" t="inlineStr">
        <is>
          <t>How do I find out what my code is actually doing?</t>
        </is>
      </c>
      <c r="D12" s="49" t="inlineStr">
        <is>
          <t>Stepping through a function</t>
        </is>
      </c>
      <c r="E12" s="49" t="inlineStr">
        <is>
          <t>Rehearse the demo. A fumbled debugger demo puts students off it permanently.</t>
        </is>
      </c>
    </row>
    <row r="13" ht="33.75" customHeight="1" s="36">
      <c r="A13" s="46" t="inlineStr">
        <is>
          <t>csv module &amp; open()</t>
        </is>
      </c>
      <c r="B13" s="65" t="n">
        <v>4</v>
      </c>
      <c r="C13" s="47" t="inlineStr">
        <is>
          <t>How do I read a file at all?</t>
        </is>
      </c>
      <c r="D13" s="47" t="inlineStr">
        <is>
          <t>Reading Report script</t>
        </is>
      </c>
      <c r="E13" s="47" t="inlineStr">
        <is>
          <t>Deliberately the hard way, so pandas is earned in Week 5.</t>
        </is>
      </c>
    </row>
    <row r="14" ht="33.75" customHeight="1" s="36">
      <c r="A14" s="48" t="inlineStr">
        <is>
          <t>Kaggle &amp; UCI repository</t>
        </is>
      </c>
      <c r="B14" s="66" t="n">
        <v>5</v>
      </c>
      <c r="C14" s="49" t="inlineStr">
        <is>
          <t>Where do I find data, and how do I judge whether I should trust it?</t>
        </is>
      </c>
      <c r="D14" s="49" t="inlineStr">
        <is>
          <t>Data Analysis Project dataset selection</t>
        </is>
      </c>
      <c r="E14" s="49" t="inlineStr">
        <is>
          <t>Teach the dataset card, the licence and provenance - not just the download button.</t>
        </is>
      </c>
    </row>
    <row r="15" ht="33.75" customHeight="1" s="36">
      <c r="A15" s="46" t="inlineStr">
        <is>
          <t>NumPy</t>
        </is>
      </c>
      <c r="B15" s="65" t="n">
        <v>5</v>
      </c>
      <c r="C15" s="47" t="inlineStr">
        <is>
          <t>How do I do arithmetic on thousands of measurements at once?</t>
        </is>
      </c>
      <c r="D15" s="47" t="inlineStr">
        <is>
          <t>Vectorised operations</t>
        </is>
      </c>
      <c r="E15" s="47" t="inlineStr">
        <is>
          <t>Keep it light: arrays and elementwise maths. Broadcasting is a footnote.</t>
        </is>
      </c>
    </row>
    <row r="16" ht="33.75" customHeight="1" s="36">
      <c r="A16" s="48" t="inlineStr">
        <is>
          <t>pandas</t>
        </is>
      </c>
      <c r="B16" s="66" t="n">
        <v>5</v>
      </c>
      <c r="C16" s="49" t="inlineStr">
        <is>
          <t>How do I work with a table of engineering data?</t>
        </is>
      </c>
      <c r="D16" s="49" t="inlineStr">
        <is>
          <t>Twelve Questions notebook</t>
        </is>
      </c>
      <c r="E16" s="49" t="inlineStr">
        <is>
          <t>The single most important tool of the semester. Budget generously.</t>
        </is>
      </c>
    </row>
    <row r="17" ht="33.75" customHeight="1" s="36">
      <c r="A17" s="46" t="inlineStr">
        <is>
          <t>matplotlib</t>
        </is>
      </c>
      <c r="B17" s="65" t="n">
        <v>6</v>
      </c>
      <c r="C17" s="47" t="inlineStr">
        <is>
          <t>How do I see my data?</t>
        </is>
      </c>
      <c r="D17" s="47" t="inlineStr">
        <is>
          <t>Histograms and scatter plots</t>
        </is>
      </c>
      <c r="E17" s="47" t="inlineStr">
        <is>
          <t>Figure/axes, labels, units, saving. Nothing more.</t>
        </is>
      </c>
    </row>
    <row r="18" ht="33.75" customHeight="1" s="36">
      <c r="A18" s="48" t="inlineStr">
        <is>
          <t>seaborn</t>
        </is>
      </c>
      <c r="B18" s="66" t="n">
        <v>6</v>
      </c>
      <c r="C18" s="49" t="inlineStr">
        <is>
          <t>How do I see it quickly and well?</t>
        </is>
      </c>
      <c r="D18" s="49" t="inlineStr">
        <is>
          <t>Box plots, heatmaps, pairplot</t>
        </is>
      </c>
      <c r="E18" s="49" t="inlineStr">
        <is>
          <t>Introduced after matplotlib so students know what it is wrapping.</t>
        </is>
      </c>
    </row>
    <row r="19" ht="33.75" customHeight="1" s="36">
      <c r="A19" s="46" t="inlineStr">
        <is>
          <t>scikit-learn (core)</t>
        </is>
      </c>
      <c r="B19" s="65" t="n">
        <v>8</v>
      </c>
      <c r="C19" s="47" t="inlineStr">
        <is>
          <t>How do I build a model that learns from examples?</t>
        </is>
      </c>
      <c r="D19" s="47" t="inlineStr">
        <is>
          <t>LinearRegression, train_test_split, metrics</t>
        </is>
      </c>
      <c r="E19" s="47" t="inlineStr">
        <is>
          <t>Name the fit/predict/score pattern explicitly - every later model reuses it.</t>
        </is>
      </c>
    </row>
    <row r="20" ht="33.75" customHeight="1" s="36">
      <c r="A20" s="48" t="inlineStr">
        <is>
          <t>scikit-learn (classifiers)</t>
        </is>
      </c>
      <c r="B20" s="66" t="n">
        <v>9</v>
      </c>
      <c r="C20" s="49" t="inlineStr">
        <is>
          <t>How do I get the machine to choose between categories?</t>
        </is>
      </c>
      <c r="D20" s="49" t="inlineStr">
        <is>
          <t>LogisticRegression, DecisionTree, RandomForest</t>
        </is>
      </c>
      <c r="E20" s="49" t="inlineStr">
        <is>
          <t>plot_tree is worth the time: a readable model is a teaching asset.</t>
        </is>
      </c>
    </row>
    <row r="21" ht="33.75" customHeight="1" s="36">
      <c r="A21" s="46" t="inlineStr">
        <is>
          <t>scikit-learn (validation)</t>
        </is>
      </c>
      <c r="B21" s="65" t="n">
        <v>10</v>
      </c>
      <c r="C21" s="47" t="inlineStr">
        <is>
          <t>How do I know whether to trust my own model?</t>
        </is>
      </c>
      <c r="D21" s="47" t="inlineStr">
        <is>
          <t>cross_val_score, validation_curve, Pipeline</t>
        </is>
      </c>
      <c r="E21" s="47" t="inlineStr">
        <is>
          <t>Pipeline is introduced as the structural fix for leakage, not as tidy code.</t>
        </is>
      </c>
    </row>
    <row r="22" ht="33.75" customHeight="1" s="36">
      <c r="A22" s="48" t="inlineStr">
        <is>
          <t>scikit-learn (preprocessing)</t>
        </is>
      </c>
      <c r="B22" s="66" t="n">
        <v>11</v>
      </c>
      <c r="C22" s="49" t="inlineStr">
        <is>
          <t>How do I feed the model what it can actually use?</t>
        </is>
      </c>
      <c r="D22" s="49" t="inlineStr">
        <is>
          <t>OneHotEncoder, StandardScaler, ColumnTransformer</t>
        </is>
      </c>
      <c r="E22" s="49" t="inlineStr">
        <is>
          <t>Always inside a Pipeline, from the first example, with no exceptions.</t>
        </is>
      </c>
    </row>
    <row r="23" ht="33.75" customHeight="1" s="36">
      <c r="A23" s="46" t="inlineStr">
        <is>
          <t>XGBoost / LightGBM</t>
        </is>
      </c>
      <c r="B23" s="65" t="n">
        <v>12</v>
      </c>
      <c r="C23" s="47" t="inlineStr">
        <is>
          <t>Is there something stronger?</t>
        </is>
      </c>
      <c r="D23" s="47" t="inlineStr">
        <is>
          <t>60-second demonstration only</t>
        </is>
      </c>
      <c r="E23" s="47" t="inlineStr">
        <is>
          <t>DEFERRED to Semester 2 by design, and the students are told why.</t>
        </is>
      </c>
    </row>
    <row r="24" ht="33.75" customHeight="1" s="36">
      <c r="A24" s="48" t="inlineStr">
        <is>
          <t>scikit-learn (search)</t>
        </is>
      </c>
      <c r="B24" s="66" t="n">
        <v>12</v>
      </c>
      <c r="C24" s="49" t="inlineStr">
        <is>
          <t>How do I choose between models fairly?</t>
        </is>
      </c>
      <c r="D24" s="49" t="inlineStr">
        <is>
          <t>GridSearchCV inside a Pipeline</t>
        </is>
      </c>
      <c r="E24" s="49" t="inlineStr">
        <is>
          <t>One worked example. The students do the rest unaided.</t>
        </is>
      </c>
    </row>
    <row r="25" ht="33.75" customHeight="1" s="36">
      <c r="A25" s="46" t="inlineStr">
        <is>
          <t>Streamlit</t>
        </is>
      </c>
      <c r="B25" s="65" t="n">
        <v>13</v>
      </c>
      <c r="C25" s="47" t="inlineStr">
        <is>
          <t>How do I turn a model into something a colleague can use?</t>
        </is>
      </c>
      <c r="D25" s="47" t="inlineStr">
        <is>
          <t>3-minute teaser</t>
        </is>
      </c>
      <c r="E25" s="47" t="inlineStr">
        <is>
          <t>Semester 2 destination. Mentioned to create appetite, not taught.</t>
        </is>
      </c>
    </row>
    <row r="26" ht="33.75" customHeight="1" s="36">
      <c r="A26" s="48" t="inlineStr">
        <is>
          <t>requirements.txt / environment capture</t>
        </is>
      </c>
      <c r="B26" s="66" t="n">
        <v>13</v>
      </c>
      <c r="C26" s="49" t="inlineStr">
        <is>
          <t>How does someone else run my work next year?</t>
        </is>
      </c>
      <c r="D26" s="49" t="inlineStr">
        <is>
          <t>Repository freeze</t>
        </is>
      </c>
      <c r="E26" s="49" t="inlineStr">
        <is>
          <t>Paired with restart-and-run-all as the acceptance test.</t>
        </is>
      </c>
    </row>
    <row r="28" ht="39.75" customHeight="1" s="36">
      <c r="A28" s="56" t="inlineStr">
        <is>
          <t>Deliberately NOT in Semester 1: deep learning, PyTorch, OpenCV, transfer learning, time-series forecasting, RAG, agents, MLOps, FastAPI, cloud deployment. All are Semester 2. Students are told this explicitly and told why: a beginner who meets ten tools learns none of them.</t>
        </is>
      </c>
    </row>
  </sheetData>
  <mergeCells count="3">
    <mergeCell ref="A2:E2"/>
    <mergeCell ref="A1:E1"/>
    <mergeCell ref="A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BF8F0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6" customWidth="1" style="35" min="1" max="1"/>
    <col width="12" customWidth="1" style="35" min="2" max="2"/>
    <col width="44" customWidth="1" style="35" min="3" max="3"/>
    <col width="26" customWidth="1" style="35" min="4" max="4"/>
    <col width="42" customWidth="1" style="35" min="5" max="6"/>
    <col width="16" customWidth="1" style="35" min="7" max="7"/>
    <col width="22" customWidth="1" style="35" min="8" max="8"/>
  </cols>
  <sheetData>
    <row r="1" ht="25.5" customHeight="1" s="36">
      <c r="A1" s="37" t="inlineStr">
        <is>
          <t>Dataset register</t>
        </is>
      </c>
    </row>
    <row r="2" ht="18" customHeight="1" s="36">
      <c r="A2" s="38" t="inlineStr">
        <is>
          <t>Stage every dataset on the local share at the start of the semester. Never fetch live in class.</t>
        </is>
      </c>
    </row>
    <row r="4" ht="31.5" customHeight="1" s="36">
      <c r="A4" s="42" t="inlineStr">
        <is>
          <t>Dataset</t>
        </is>
      </c>
      <c r="B4" s="42" t="inlineStr">
        <is>
          <t>Cohort(s)</t>
        </is>
      </c>
      <c r="C4" s="42" t="inlineStr">
        <is>
          <t>Host / identifier</t>
        </is>
      </c>
      <c r="D4" s="42" t="inlineStr">
        <is>
          <t>Licence</t>
        </is>
      </c>
      <c r="E4" s="42" t="inlineStr">
        <is>
          <t>Size</t>
        </is>
      </c>
      <c r="F4" s="42" t="inlineStr">
        <is>
          <t>Task</t>
        </is>
      </c>
      <c r="G4" s="42" t="inlineStr">
        <is>
          <t>Weeks used</t>
        </is>
      </c>
      <c r="H4" s="42" t="inlineStr">
        <is>
          <t>Status</t>
        </is>
      </c>
    </row>
    <row r="5" ht="31.5" customHeight="1" s="36">
      <c r="A5" s="43" t="inlineStr">
        <is>
          <t>Concrete Compressive Strength</t>
        </is>
      </c>
      <c r="B5" s="67" t="inlineStr">
        <is>
          <t>A</t>
        </is>
      </c>
      <c r="C5" s="44" t="inlineStr">
        <is>
          <t>UCI ML Repository, dataset 165 (doi 10.24432/C5PK67)</t>
        </is>
      </c>
      <c r="D5" s="44" t="inlineStr">
        <is>
          <t>CC BY 4.0</t>
        </is>
      </c>
      <c r="E5" s="44" t="inlineStr">
        <is>
          <t>1,030 rows x 9 cols</t>
        </is>
      </c>
      <c r="F5" s="44" t="inlineStr">
        <is>
          <t>Regression - strength in MPa</t>
        </is>
      </c>
      <c r="G5" s="67" t="inlineStr">
        <is>
          <t>1, 5, 6, 8, 11</t>
        </is>
      </c>
      <c r="H5" s="44" t="inlineStr">
        <is>
          <t>VERIFIED 2026-09-01</t>
        </is>
      </c>
    </row>
    <row r="6" ht="31.5" customHeight="1" s="36">
      <c r="A6" s="43" t="inlineStr">
        <is>
          <t>Energy Efficiency (Tsanas &amp; Xifara)</t>
        </is>
      </c>
      <c r="B6" s="67" t="inlineStr">
        <is>
          <t>A</t>
        </is>
      </c>
      <c r="C6" s="44" t="inlineStr">
        <is>
          <t>UCI ML Repository, dataset 242 (doi 10.24432/C51307)</t>
        </is>
      </c>
      <c r="D6" s="44" t="inlineStr">
        <is>
          <t>CC BY 4.0</t>
        </is>
      </c>
      <c r="E6" s="44" t="inlineStr">
        <is>
          <t>768 rows x 8 features, 2 targets</t>
        </is>
      </c>
      <c r="F6" s="44" t="inlineStr">
        <is>
          <t>Regression - heating &amp; cooling load</t>
        </is>
      </c>
      <c r="G6" s="67" t="inlineStr">
        <is>
          <t>5, 6, 8, 11</t>
        </is>
      </c>
      <c r="H6" s="44" t="inlineStr">
        <is>
          <t>VERIFIED 2026-09-01</t>
        </is>
      </c>
    </row>
    <row r="7" ht="31.5" customHeight="1" s="36">
      <c r="A7" s="51" t="inlineStr">
        <is>
          <t>Concrete Slump Test</t>
        </is>
      </c>
      <c r="B7" s="68" t="inlineStr">
        <is>
          <t>A</t>
        </is>
      </c>
      <c r="C7" s="52" t="inlineStr">
        <is>
          <t>UCI ML Repository, dataset 182</t>
        </is>
      </c>
      <c r="D7" s="52" t="inlineStr">
        <is>
          <t>Check on the dataset page</t>
        </is>
      </c>
      <c r="E7" s="52" t="inlineStr">
        <is>
          <t>~103 rows</t>
        </is>
      </c>
      <c r="F7" s="52" t="inlineStr">
        <is>
          <t>Regression</t>
        </is>
      </c>
      <c r="G7" s="68" t="inlineStr">
        <is>
          <t>7 (test variant)</t>
        </is>
      </c>
      <c r="H7" s="52" t="inlineStr">
        <is>
          <t>VERIFY BEFORE USE</t>
        </is>
      </c>
    </row>
    <row r="8" ht="31.5" customHeight="1" s="36">
      <c r="A8" s="51" t="inlineStr">
        <is>
          <t>Appliances Energy Prediction</t>
        </is>
      </c>
      <c r="B8" s="68" t="inlineStr">
        <is>
          <t>A</t>
        </is>
      </c>
      <c r="C8" s="52" t="inlineStr">
        <is>
          <t>UCI ML Repository, dataset 374</t>
        </is>
      </c>
      <c r="D8" s="52" t="inlineStr">
        <is>
          <t>Check on the dataset page</t>
        </is>
      </c>
      <c r="E8" s="52" t="inlineStr">
        <is>
          <t>~19,735 rows</t>
        </is>
      </c>
      <c r="F8" s="52" t="inlineStr">
        <is>
          <t>Regression / time series</t>
        </is>
      </c>
      <c r="G8" s="68" t="inlineStr">
        <is>
          <t>Project pool; Semester 2</t>
        </is>
      </c>
      <c r="H8" s="52" t="inlineStr">
        <is>
          <t>VERIFY BEFORE USE</t>
        </is>
      </c>
    </row>
    <row r="9" ht="31.5" customHeight="1" s="36">
      <c r="A9" s="51" t="inlineStr">
        <is>
          <t>Occupancy Detection</t>
        </is>
      </c>
      <c r="B9" s="68" t="inlineStr">
        <is>
          <t>A</t>
        </is>
      </c>
      <c r="C9" s="52" t="inlineStr">
        <is>
          <t>UCI ML Repository, dataset 357</t>
        </is>
      </c>
      <c r="D9" s="52" t="inlineStr">
        <is>
          <t>Check on the dataset page</t>
        </is>
      </c>
      <c r="E9" s="52" t="inlineStr">
        <is>
          <t>~20,560 rows</t>
        </is>
      </c>
      <c r="F9" s="52" t="inlineStr">
        <is>
          <t>Classification - sensors in a room</t>
        </is>
      </c>
      <c r="G9" s="68" t="inlineStr">
        <is>
          <t>Project pool</t>
        </is>
      </c>
      <c r="H9" s="52" t="inlineStr">
        <is>
          <t>VERIFY BEFORE USE</t>
        </is>
      </c>
    </row>
    <row r="10" ht="31.5" customHeight="1" s="36">
      <c r="A10" s="43" t="inlineStr">
        <is>
          <t>Quality Prediction in a Mining Process (froth flotation)</t>
        </is>
      </c>
      <c r="B10" s="67" t="inlineStr">
        <is>
          <t>B</t>
        </is>
      </c>
      <c r="C10" s="44" t="inlineStr">
        <is>
          <t>Kaggle - edumagalhaes/quality-prediction-in-a-mining-process</t>
        </is>
      </c>
      <c r="D10" s="44" t="inlineStr">
        <is>
          <t>Check the Kaggle dataset page</t>
        </is>
      </c>
      <c r="E10" s="44" t="inlineStr">
        <is>
          <t>~737,453 rows x 24 cols - MUST BE SUBSET to ~20,000 for teaching</t>
        </is>
      </c>
      <c r="F10" s="44" t="inlineStr">
        <is>
          <t>Regression - % silica in concentrate</t>
        </is>
      </c>
      <c r="G10" s="67" t="inlineStr">
        <is>
          <t>1, 5, 6, 8, 11</t>
        </is>
      </c>
      <c r="H10" s="44" t="inlineStr">
        <is>
          <t>VERIFIED 2026-09-01</t>
        </is>
      </c>
    </row>
    <row r="11" ht="31.5" customHeight="1" s="36">
      <c r="A11" s="43" t="inlineStr">
        <is>
          <t>FORCE 2020 well logs (lithology)</t>
        </is>
      </c>
      <c r="B11" s="67" t="inlineStr">
        <is>
          <t>B</t>
        </is>
      </c>
      <c r="C11" s="44" t="inlineStr">
        <is>
          <t>GitHub - bolgebrygg/Force-2020-Machine-Learning-competition</t>
        </is>
      </c>
      <c r="D11" s="44" t="inlineStr">
        <is>
          <t>Labels CC BY 4.0; log data NLOD 2.0</t>
        </is>
      </c>
      <c r="E11" s="44" t="inlineStr">
        <is>
          <t>118 wells - REDUCE to 3 wells for teaching</t>
        </is>
      </c>
      <c r="F11" s="44" t="inlineStr">
        <is>
          <t>Multi-class classification - lithofacies</t>
        </is>
      </c>
      <c r="G11" s="67" t="inlineStr">
        <is>
          <t>5, 9, 11, 12</t>
        </is>
      </c>
      <c r="H11" s="44" t="inlineStr">
        <is>
          <t>VERIFIED 2026-09-01</t>
        </is>
      </c>
    </row>
    <row r="12" ht="31.5" customHeight="1" s="36">
      <c r="A12" s="51" t="inlineStr">
        <is>
          <t>Volve field production data</t>
        </is>
      </c>
      <c r="B12" s="68" t="inlineStr">
        <is>
          <t>B</t>
        </is>
      </c>
      <c r="C12" s="52" t="inlineStr">
        <is>
          <t>Equinor open data</t>
        </is>
      </c>
      <c r="D12" s="52" t="inlineStr">
        <is>
          <t>Equinor open licence - read carefully</t>
        </is>
      </c>
      <c r="E12" s="52" t="inlineStr">
        <is>
          <t>Large</t>
        </is>
      </c>
      <c r="F12" s="52" t="inlineStr">
        <is>
          <t>Regression / time series</t>
        </is>
      </c>
      <c r="G12" s="68" t="inlineStr">
        <is>
          <t>Project pool; Semester 2</t>
        </is>
      </c>
      <c r="H12" s="52" t="inlineStr">
        <is>
          <t>VERIFY BEFORE USE</t>
        </is>
      </c>
    </row>
    <row r="13" ht="31.5" customHeight="1" s="36">
      <c r="A13" s="43" t="inlineStr">
        <is>
          <t>Combined Cycle Power Plant</t>
        </is>
      </c>
      <c r="B13" s="67" t="inlineStr">
        <is>
          <t>C</t>
        </is>
      </c>
      <c r="C13" s="44" t="inlineStr">
        <is>
          <t>UCI ML Repository, dataset 294</t>
        </is>
      </c>
      <c r="D13" s="44" t="inlineStr">
        <is>
          <t>CC BY 4.0 (confirm on page)</t>
        </is>
      </c>
      <c r="E13" s="44" t="inlineStr">
        <is>
          <t>9,568 rows x 4 features</t>
        </is>
      </c>
      <c r="F13" s="44" t="inlineStr">
        <is>
          <t>Regression - power output in MW</t>
        </is>
      </c>
      <c r="G13" s="67" t="inlineStr">
        <is>
          <t>1, 5, 6, 8, 11</t>
        </is>
      </c>
      <c r="H13" s="44" t="inlineStr">
        <is>
          <t>VERIFIED 2026-09-01</t>
        </is>
      </c>
    </row>
    <row r="14" ht="31.5" customHeight="1" s="36">
      <c r="A14" s="43" t="inlineStr">
        <is>
          <t>Steel Plates Faults</t>
        </is>
      </c>
      <c r="B14" s="67" t="inlineStr">
        <is>
          <t>C</t>
        </is>
      </c>
      <c r="C14" s="44" t="inlineStr">
        <is>
          <t>UCI ML Repository, dataset 198 (doi 10.24432/C5J88N)</t>
        </is>
      </c>
      <c r="D14" s="44" t="inlineStr">
        <is>
          <t>CC BY 4.0</t>
        </is>
      </c>
      <c r="E14" s="44" t="inlineStr">
        <is>
          <t>1,941 rows x 27 features, 7 classes</t>
        </is>
      </c>
      <c r="F14" s="44" t="inlineStr">
        <is>
          <t>Multi-class classification - defect type</t>
        </is>
      </c>
      <c r="G14" s="67" t="inlineStr">
        <is>
          <t>7, 9, 12</t>
        </is>
      </c>
      <c r="H14" s="44" t="inlineStr">
        <is>
          <t>VERIFIED 2026-09-01</t>
        </is>
      </c>
    </row>
    <row r="15" ht="31.5" customHeight="1" s="36">
      <c r="A15" s="51" t="inlineStr">
        <is>
          <t>Individual Household Electric Power Consumption</t>
        </is>
      </c>
      <c r="B15" s="68" t="inlineStr">
        <is>
          <t>C</t>
        </is>
      </c>
      <c r="C15" s="52" t="inlineStr">
        <is>
          <t>UCI ML Repository, dataset 235</t>
        </is>
      </c>
      <c r="D15" s="52" t="inlineStr">
        <is>
          <t>Check on the dataset page</t>
        </is>
      </c>
      <c r="E15" s="52" t="inlineStr">
        <is>
          <t>~2,075,259 rows - subset required</t>
        </is>
      </c>
      <c r="F15" s="52" t="inlineStr">
        <is>
          <t>Time series / forecasting</t>
        </is>
      </c>
      <c r="G15" s="68" t="inlineStr">
        <is>
          <t>Semester 2</t>
        </is>
      </c>
      <c r="H15" s="52" t="inlineStr">
        <is>
          <t>VERIFY BEFORE USE</t>
        </is>
      </c>
    </row>
    <row r="16" ht="31.5" customHeight="1" s="36">
      <c r="A16" s="51" t="inlineStr">
        <is>
          <t>Electrical Grid Stability Simulated Data</t>
        </is>
      </c>
      <c r="B16" s="68" t="inlineStr">
        <is>
          <t>C</t>
        </is>
      </c>
      <c r="C16" s="52" t="inlineStr">
        <is>
          <t>UCI ML Repository, dataset 471</t>
        </is>
      </c>
      <c r="D16" s="52" t="inlineStr">
        <is>
          <t>Check on the dataset page</t>
        </is>
      </c>
      <c r="E16" s="52" t="inlineStr">
        <is>
          <t>~10,000 rows</t>
        </is>
      </c>
      <c r="F16" s="52" t="inlineStr">
        <is>
          <t>Classification</t>
        </is>
      </c>
      <c r="G16" s="68" t="inlineStr">
        <is>
          <t>Project pool</t>
        </is>
      </c>
      <c r="H16" s="52" t="inlineStr">
        <is>
          <t>VERIFY BEFORE USE</t>
        </is>
      </c>
    </row>
    <row r="17" ht="31.5" customHeight="1" s="36">
      <c r="A17" s="43" t="inlineStr">
        <is>
          <t>AI4I 2020 Predictive Maintenance</t>
        </is>
      </c>
      <c r="B17" s="67" t="inlineStr">
        <is>
          <t>A, B, C</t>
        </is>
      </c>
      <c r="C17" s="44" t="inlineStr">
        <is>
          <t>UCI ML Repository, dataset 601 (doi 10.24432/C5HS5C)</t>
        </is>
      </c>
      <c r="D17" s="44" t="inlineStr">
        <is>
          <t>CC BY 4.0</t>
        </is>
      </c>
      <c r="E17" s="44" t="inlineStr">
        <is>
          <t>10,000 rows x 14 cols, 3.4% failure rate</t>
        </is>
      </c>
      <c r="F17" s="44" t="inlineStr">
        <is>
          <t>Classification - machine failure (naturally imbalanced)</t>
        </is>
      </c>
      <c r="G17" s="67" t="inlineStr">
        <is>
          <t>9 (all cohorts); 1 &amp; 5 &amp; 11 for C</t>
        </is>
      </c>
      <c r="H17" s="44" t="inlineStr">
        <is>
          <t>VERIFIED 2026-09-01</t>
        </is>
      </c>
    </row>
    <row r="18" ht="31.5" customHeight="1" s="36">
      <c r="A18" s="43" t="inlineStr">
        <is>
          <t>MetroPT-3</t>
        </is>
      </c>
      <c r="B18" s="67" t="inlineStr">
        <is>
          <t>B, C</t>
        </is>
      </c>
      <c r="C18" s="44" t="inlineStr">
        <is>
          <t>UCI ML Repository, dataset 791</t>
        </is>
      </c>
      <c r="D18" s="44" t="inlineStr">
        <is>
          <t>CC BY 4.0 (confirm on page)</t>
        </is>
      </c>
      <c r="E18" s="44" t="inlineStr">
        <is>
          <t>1,516,948 rows x 15 features - subset required</t>
        </is>
      </c>
      <c r="F18" s="44" t="inlineStr">
        <is>
          <t>Anomaly detection / predictive maintenance, real sensor time series</t>
        </is>
      </c>
      <c r="G18" s="67" t="inlineStr">
        <is>
          <t>12; Semester 2 core</t>
        </is>
      </c>
      <c r="H18" s="44" t="inlineStr">
        <is>
          <t>VERIFIED 2026-09-01</t>
        </is>
      </c>
    </row>
    <row r="19" ht="31.5" customHeight="1" s="36">
      <c r="A19" s="53" t="inlineStr">
        <is>
          <t>COURSE-AUTHORED: Investigation Lab file (~300 rows)</t>
        </is>
      </c>
      <c r="B19" s="69" t="inlineStr">
        <is>
          <t>A, B, C</t>
        </is>
      </c>
      <c r="C19" s="54" t="inlineStr">
        <is>
          <t>To be authored by the lecturer</t>
        </is>
      </c>
      <c r="D19" s="54" t="inlineStr">
        <is>
          <t>Course material</t>
        </is>
      </c>
      <c r="E19" s="54" t="inlineStr">
        <is>
          <t>~300 rows</t>
        </is>
      </c>
      <c r="F19" s="54" t="inlineStr">
        <is>
          <t>Open investigation - one planted finding, two red herrings</t>
        </is>
      </c>
      <c r="G19" s="69" t="inlineStr">
        <is>
          <t>4</t>
        </is>
      </c>
      <c r="H19" s="54" t="inlineStr">
        <is>
          <t>TO BE BUILT - Week 4 prep</t>
        </is>
      </c>
    </row>
    <row r="20" ht="31.5" customHeight="1" s="36">
      <c r="A20" s="53" t="inlineStr">
        <is>
          <t>COURSE-AUTHORED: damaged dataset + defect key</t>
        </is>
      </c>
      <c r="B20" s="69" t="inlineStr">
        <is>
          <t>A, B, C</t>
        </is>
      </c>
      <c r="C20" s="54" t="inlineStr">
        <is>
          <t>To be authored by the lecturer</t>
        </is>
      </c>
      <c r="D20" s="54" t="inlineStr">
        <is>
          <t>Course material</t>
        </is>
      </c>
      <c r="E20" s="54" t="inlineStr">
        <is>
          <t>Derived from the anchor dataset</t>
        </is>
      </c>
      <c r="F20" s="54" t="inlineStr">
        <is>
          <t>Cleaning practice - 6 planted defects, 2 arguable extremes</t>
        </is>
      </c>
      <c r="G20" s="69" t="inlineStr">
        <is>
          <t>6</t>
        </is>
      </c>
      <c r="H20" s="54" t="inlineStr">
        <is>
          <t>TO BE BUILT - Week 6 prep</t>
        </is>
      </c>
    </row>
    <row r="21" ht="31.5" customHeight="1" s="36">
      <c r="A21" s="53" t="inlineStr">
        <is>
          <t>COURSE-AUTHORED: 'Too Good To Be True' notebooks x3</t>
        </is>
      </c>
      <c r="B21" s="69" t="inlineStr">
        <is>
          <t>A, B, C</t>
        </is>
      </c>
      <c r="C21" s="54" t="inlineStr">
        <is>
          <t>To be authored by the lecturer</t>
        </is>
      </c>
      <c r="D21" s="54" t="inlineStr">
        <is>
          <t>Course material</t>
        </is>
      </c>
      <c r="E21" s="54" t="inlineStr">
        <is>
          <t>3 notebooks per cohort</t>
        </is>
      </c>
      <c r="F21" s="54" t="inlineStr">
        <is>
          <t>Leakage diagnosis - 3 different planted causes</t>
        </is>
      </c>
      <c r="G21" s="69" t="inlineStr">
        <is>
          <t>10</t>
        </is>
      </c>
      <c r="H21" s="54" t="inlineStr">
        <is>
          <t>TO BE BUILT - Week 10 prep</t>
        </is>
      </c>
    </row>
    <row r="22" ht="31.5" customHeight="1" s="36">
      <c r="A22" s="53" t="inlineStr">
        <is>
          <t>COURSE-AUTHORED: Test 1 variants x3</t>
        </is>
      </c>
      <c r="B22" s="69" t="inlineStr">
        <is>
          <t>A, B, C</t>
        </is>
      </c>
      <c r="C22" s="54" t="inlineStr">
        <is>
          <t>To be authored by the lecturer</t>
        </is>
      </c>
      <c r="D22" s="54" t="inlineStr">
        <is>
          <t>Course material - secure</t>
        </is>
      </c>
      <c r="E22" s="54" t="inlineStr">
        <is>
          <t>Matched for difficulty</t>
        </is>
      </c>
      <c r="F22" s="54" t="inlineStr">
        <is>
          <t>Practical Test 1</t>
        </is>
      </c>
      <c r="G22" s="69" t="inlineStr">
        <is>
          <t>7</t>
        </is>
      </c>
      <c r="H22" s="54" t="inlineStr">
        <is>
          <t>TO BE BUILT - by Week 5</t>
        </is>
      </c>
    </row>
    <row r="23" ht="31.5" customHeight="1" s="36">
      <c r="A23" s="53" t="inlineStr">
        <is>
          <t>COURSE-AUTHORED: Test 2 variants x3</t>
        </is>
      </c>
      <c r="B23" s="69" t="inlineStr">
        <is>
          <t>A, B, C</t>
        </is>
      </c>
      <c r="C23" s="54" t="inlineStr">
        <is>
          <t>To be authored by the lecturer</t>
        </is>
      </c>
      <c r="D23" s="54" t="inlineStr">
        <is>
          <t>Course material - secure</t>
        </is>
      </c>
      <c r="E23" s="54" t="inlineStr">
        <is>
          <t>Matched for difficulty</t>
        </is>
      </c>
      <c r="F23" s="54" t="inlineStr">
        <is>
          <t>Practical Test 2</t>
        </is>
      </c>
      <c r="G23" s="69" t="inlineStr">
        <is>
          <t>14</t>
        </is>
      </c>
      <c r="H23" s="54" t="inlineStr">
        <is>
          <t>TO BE BUILT - by Week 12</t>
        </is>
      </c>
    </row>
    <row r="25" ht="43.5" customHeight="1" s="36">
      <c r="A25" s="56" t="inlineStr">
        <is>
          <t>Status key:  green = existence and licence confirmed 1 Sep 2026 ·  amber = named from knowledge, NOT confirmed, verify before use ·  red = course material that does not exist yet and must be authored, with the week it is needed. The red rows are the real preparation workload of this semester and should be scheduled now.</t>
        </is>
      </c>
    </row>
  </sheetData>
  <mergeCells count="3">
    <mergeCell ref="A25:H25"/>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00B05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26" customWidth="1" style="35" min="1" max="1"/>
    <col width="50" customWidth="1" style="35" min="2" max="2"/>
    <col width="44" customWidth="1" style="35" min="3" max="3"/>
    <col width="22" customWidth="1" style="35" min="4" max="4"/>
    <col width="56" customWidth="1" style="35" min="5" max="5"/>
    <col width="76" customWidth="1" style="35" min="6" max="6"/>
  </cols>
  <sheetData>
    <row r="1" ht="25.5" customHeight="1" s="36">
      <c r="A1" s="37" t="inlineStr">
        <is>
          <t>Assessment technology stack — five layers, all free</t>
        </is>
      </c>
    </row>
    <row r="2" ht="18" customHeight="1" s="36">
      <c r="A2" s="38" t="inlineStr">
        <is>
          <t>Built and tested. The working code is in the assessment-tools folder alongside this workbook.</t>
        </is>
      </c>
    </row>
    <row r="4" ht="31.5" customHeight="1" s="36">
      <c r="A4" s="42" t="inlineStr">
        <is>
          <t>Layer</t>
        </is>
      </c>
      <c r="B4" s="42" t="inlineStr">
        <is>
          <t>Purpose</t>
        </is>
      </c>
      <c r="C4" s="42" t="inlineStr">
        <is>
          <t>Tool</t>
        </is>
      </c>
      <c r="D4" s="42" t="inlineStr">
        <is>
          <t>Cost</t>
        </is>
      </c>
      <c r="E4" s="42" t="inlineStr">
        <is>
          <t>What it removes</t>
        </is>
      </c>
      <c r="F4" s="42" t="inlineStr">
        <is>
          <t>Verified limits and cautions</t>
        </is>
      </c>
    </row>
    <row r="5" ht="109.5" customHeight="1" s="36">
      <c r="A5" s="46" t="inlineStr">
        <is>
          <t>Layer A - Weekly quizzes</t>
        </is>
      </c>
      <c r="B5" s="47" t="inlineStr">
        <is>
          <t>Five questions; automated score and teaching feedback.</t>
        </is>
      </c>
      <c r="C5" s="47" t="inlineStr">
        <is>
          <t>Google Forms quizzes + gradebook.gs</t>
        </is>
      </c>
      <c r="D5" s="47" t="inlineStr">
        <is>
          <t>Google account quotas apply</t>
        </is>
      </c>
      <c r="E5" s="47" t="inlineStr">
        <is>
          <t>No per-response arithmetic marking.</t>
        </is>
      </c>
      <c r="F5" s="47" t="inlineStr">
        <is>
          <t>Five-minute classroom target; existing 24-hour availability window. Server timestamps enforce the shared close time. Sign-in and roster matching support deduplication.</t>
        </is>
      </c>
    </row>
    <row r="6" ht="109.5" customHeight="1" s="36">
      <c r="A6" s="48" t="inlineStr">
        <is>
          <t>Layer B - Notebook grading</t>
        </is>
      </c>
      <c r="B6" s="49" t="inlineStr">
        <is>
          <t>Run all submitted notebooks against independent task-specific checks.</t>
        </is>
      </c>
      <c r="C6" s="49" t="inlineStr">
        <is>
          <t>grader/batch_grade.py; restricted Docker worker</t>
        </is>
      </c>
      <c r="D6" s="49" t="inlineStr">
        <is>
          <t>Local Docker image and Python requirements</t>
        </is>
      </c>
      <c r="E6" s="49" t="inlineStr">
        <is>
          <t>Automates numerical and function checks for W02-W05.</t>
        </is>
      </c>
      <c r="F6" s="49" t="inlineStr">
        <is>
          <t>Prebuild the image. Hidden checks remain on the host. Never use practice receipts or a sample as final marks.</t>
        </is>
      </c>
    </row>
    <row r="7" ht="109.5" customHeight="1" s="36">
      <c r="A7" s="46" t="inlineStr">
        <is>
          <t>Layer C - Reasoning and practical tests</t>
        </is>
      </c>
      <c r="B7" s="47" t="inlineStr">
        <is>
          <t>Use deterministic checks for code and a calibrated local rubric for reasoning.</t>
        </is>
      </c>
      <c r="C7" s="47" t="inlineStr">
        <is>
          <t>grader/artifact_grade.py; Ollama on loopback</t>
        </is>
      </c>
      <c r="D7" s="47" t="inlineStr">
        <is>
          <t>Local model storage, memory and execution time</t>
        </is>
      </c>
      <c r="E7" s="47" t="inlineStr">
        <is>
          <t>Removes routine reading when calibration supports automatic scoring.</t>
        </is>
      </c>
      <c r="F7" s="47" t="inlineStr">
        <is>
          <t>W02 combines 14 deterministic marks and 6 rubric marks. Exam-specific tasks and checks must be finalized before the test. Exceptions remain blank until resolved.</t>
        </is>
      </c>
    </row>
    <row r="8" ht="109.5" customHeight="1" s="36">
      <c r="A8" s="48" t="inlineStr">
        <is>
          <t>Layer D - Gradebook</t>
        </is>
      </c>
      <c r="B8" s="49" t="inlineStr">
        <is>
          <t>Match student registration numbers, calculate weights, apply best-of rules and flag missing work.</t>
        </is>
      </c>
      <c r="C8" s="49" t="inlineStr">
        <is>
          <t>grader/gradebook.gs</t>
        </is>
      </c>
      <c r="D8" s="49" t="inlineStr">
        <is>
          <t>Google Sheets quotas apply</t>
        </is>
      </c>
      <c r="E8" s="49" t="inlineStr">
        <is>
          <t>Imports authoritative marks without row-order copy/paste.</t>
        </is>
      </c>
      <c r="F8" s="49" t="inlineStr">
        <is>
          <t>Invalid marks, unknown IDs and unresolved statuses are rejected before writing. Faculty grade bands remain unconfigured.</t>
        </is>
      </c>
    </row>
    <row r="9" ht="109.5" customHeight="1" s="36">
      <c r="A9" s="46" t="inlineStr">
        <is>
          <t>Layer E - Submission collection</t>
        </is>
      </c>
      <c r="B9" s="47" t="inlineStr">
        <is>
          <t>Collect notebook, report and slide uploads within dated windows.</t>
        </is>
      </c>
      <c r="C9" s="47" t="inlineStr">
        <is>
          <t>grader/submission_forms.gs; prepare_submissions.py</t>
        </is>
      </c>
      <c r="D9" s="47" t="inlineStr">
        <is>
          <t>Owner Drive storage and Google sign-in required</t>
        </is>
      </c>
      <c r="E9" s="47" t="inlineStr">
        <is>
          <t>Selects the latest on-time response and exports files for local grading.</t>
        </is>
      </c>
      <c r="F9" s="47" t="inlineStr">
        <is>
          <t>One upload template is made in Forms UI. All 52 forms are resumable; DA windows remain closed until dates are supplied. Trigger delays cannot make a late response eligible.</t>
        </is>
      </c>
    </row>
    <row r="10" ht="109.5" customHeight="1" s="36">
      <c r="A10" s="48" t="inlineStr">
        <is>
          <t>Independent DA track</t>
        </is>
      </c>
      <c r="B10" s="49" t="inlineStr">
        <is>
          <t>Grade the SQL checkpoint and report/presentation evidence separately.</t>
        </is>
      </c>
      <c r="C10" s="49" t="inlineStr">
        <is>
          <t>grader/da_sql_grade.py and local rubric grader</t>
        </is>
      </c>
      <c r="D10" s="49" t="inlineStr">
        <is>
          <t>Local processing</t>
        </is>
      </c>
      <c r="E10" s="49" t="inlineStr">
        <is>
          <t>SQL amounts and report grain are checked against Riverside.</t>
        </is>
      </c>
      <c r="F10" s="49" t="inlineStr">
        <is>
          <t>Keep DA grades separate from IUEA. Text extraction does not assess visual layout or interactive dashboard behaviour.</t>
        </is>
      </c>
    </row>
    <row r="12" ht="45.75" customHeight="1" s="36">
      <c r="A12" s="56" t="inlineStr">
        <is>
          <t>Automatic grading is central to this one-teacher design. Execute numerical work independently and use calibrated local models for supported reasoning evidence. Validate chart, repository and presentation criteria separately. A draft assessment stays held until its complete evidence route passes; do not substitute an unsupported automatic mark or promise a fixed manual-marking workload.</t>
        </is>
      </c>
    </row>
  </sheetData>
  <mergeCells count="3">
    <mergeCell ref="A2:F2"/>
    <mergeCell ref="A1:F1"/>
    <mergeCell ref="A12:F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ED7D31"/>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40" customWidth="1" style="35" min="1" max="1"/>
    <col width="30" customWidth="1" style="35" min="2" max="2"/>
    <col width="12" customWidth="1" style="35" min="3" max="3"/>
    <col width="18" customWidth="1" style="35" min="4" max="5"/>
    <col width="76" customWidth="1" style="35" min="6" max="6"/>
  </cols>
  <sheetData>
    <row r="1" ht="25.5" customHeight="1" s="36">
      <c r="A1" s="37" t="inlineStr">
        <is>
          <t>Marking load — fully human versus the auto-graded stack</t>
        </is>
      </c>
    </row>
    <row r="2" ht="18" customHeight="1" s="36">
      <c r="A2" s="38" t="inlineStr">
        <is>
          <t>Per semester, at ~195 students and 43 teams. This is the answer to 'can one lecturer assess 195 students?'</t>
        </is>
      </c>
    </row>
    <row r="4" ht="31.5" customHeight="1" s="36">
      <c r="A4" s="42" t="inlineStr">
        <is>
          <t>Item</t>
        </is>
      </c>
      <c r="B4" s="42" t="inlineStr">
        <is>
          <t>Volume</t>
        </is>
      </c>
      <c r="C4" s="42" t="inlineStr">
        <is>
          <t>Min. each</t>
        </is>
      </c>
      <c r="D4" s="42" t="inlineStr">
        <is>
          <t>Hours if all human</t>
        </is>
      </c>
      <c r="E4" s="42" t="inlineStr">
        <is>
          <t>Hours with the stack</t>
        </is>
      </c>
      <c r="F4" s="42" t="inlineStr">
        <is>
          <t>How the saving is made</t>
        </is>
      </c>
    </row>
    <row r="5" ht="33.75" customHeight="1" s="36">
      <c r="A5" s="46" t="inlineStr">
        <is>
          <t>Weekly practical challenges</t>
        </is>
      </c>
      <c r="B5" s="47" t="inlineStr">
        <is>
          <t>11 x ~195</t>
        </is>
      </c>
      <c r="C5" s="65" t="inlineStr">
        <is>
          <t>3</t>
        </is>
      </c>
      <c r="D5" s="65" t="n">
        <v>107</v>
      </c>
      <c r="E5" s="65" t="n"/>
      <c r="F5" s="47" t="inlineStr">
        <is>
          <t>Batch execution; measure exceptions during the pilot.</t>
        </is>
      </c>
    </row>
    <row r="6" ht="33.75" customHeight="1" s="36">
      <c r="A6" s="48" t="inlineStr">
        <is>
          <t>Weekly quizzes</t>
        </is>
      </c>
      <c r="B6" s="49" t="inlineStr">
        <is>
          <t>12 x ~195</t>
        </is>
      </c>
      <c r="C6" s="66" t="inlineStr">
        <is>
          <t>0</t>
        </is>
      </c>
      <c r="D6" s="66" t="n">
        <v>0</v>
      </c>
      <c r="E6" s="66" t="n">
        <v>0</v>
      </c>
      <c r="F6" s="49" t="inlineStr">
        <is>
          <t>Forms scores automatically; setup and support time remain.</t>
        </is>
      </c>
    </row>
    <row r="7" ht="33.75" customHeight="1" s="36">
      <c r="A7" s="46" t="inlineStr">
        <is>
          <t>Practical Test 1</t>
        </is>
      </c>
      <c r="B7" s="47" t="inlineStr">
        <is>
          <t>~195 scripts</t>
        </is>
      </c>
      <c r="C7" s="65" t="inlineStr">
        <is>
          <t>8</t>
        </is>
      </c>
      <c r="D7" s="65" t="n">
        <v>26</v>
      </c>
      <c r="E7" s="65" t="n"/>
      <c r="F7" s="47" t="inlineStr">
        <is>
          <t>Finalize deterministic tasks and local reasoning calibration.</t>
        </is>
      </c>
    </row>
    <row r="8" ht="33.75" customHeight="1" s="36">
      <c r="A8" s="48" t="inlineStr">
        <is>
          <t>Practical Test 2</t>
        </is>
      </c>
      <c r="B8" s="49" t="inlineStr">
        <is>
          <t>~195 scripts</t>
        </is>
      </c>
      <c r="C8" s="66" t="inlineStr">
        <is>
          <t>8</t>
        </is>
      </c>
      <c r="D8" s="66" t="n">
        <v>26</v>
      </c>
      <c r="E8" s="66" t="n"/>
      <c r="F8" s="49" t="inlineStr">
        <is>
          <t>Finalize deterministic pipeline checks and reasoning calibration.</t>
        </is>
      </c>
    </row>
    <row r="9" ht="33.75" customHeight="1" s="36">
      <c r="A9" s="46" t="inlineStr">
        <is>
          <t>Data Analysis Project</t>
        </is>
      </c>
      <c r="B9" s="47" t="inlineStr">
        <is>
          <t>43 teams</t>
        </is>
      </c>
      <c r="C9" s="65" t="inlineStr">
        <is>
          <t>25</t>
        </is>
      </c>
      <c r="D9" s="65" t="n">
        <v>18</v>
      </c>
      <c r="E9" s="65" t="n"/>
      <c r="F9" s="47" t="inlineStr">
        <is>
          <t>Local rubric evidence; pilot against representative reports.</t>
        </is>
      </c>
    </row>
    <row r="10" ht="33.75" customHeight="1" s="36">
      <c r="A10" s="48" t="inlineStr">
        <is>
          <t>Engineering ML Project + milestones</t>
        </is>
      </c>
      <c r="B10" s="49" t="inlineStr">
        <is>
          <t>43 teams</t>
        </is>
      </c>
      <c r="C10" s="66" t="inlineStr">
        <is>
          <t>60</t>
        </is>
      </c>
      <c r="D10" s="66" t="n">
        <v>43</v>
      </c>
      <c r="E10" s="66" t="n"/>
      <c r="F10" s="49" t="inlineStr">
        <is>
          <t>Deterministic execution and calibrated rubric assessment.</t>
        </is>
      </c>
    </row>
    <row r="11" ht="33.75" customHeight="1" s="36">
      <c r="A11" s="46" t="inlineStr">
        <is>
          <t>Demo and reflection</t>
        </is>
      </c>
      <c r="B11" s="47" t="inlineStr">
        <is>
          <t>~195 students</t>
        </is>
      </c>
      <c r="C11" s="65" t="inlineStr">
        <is>
          <t>5</t>
        </is>
      </c>
      <c r="D11" s="65" t="n">
        <v>16</v>
      </c>
      <c r="E11" s="65" t="n"/>
      <c r="F11" s="47" t="inlineStr">
        <is>
          <t>Submitted slides and notes; selected live demonstrations for discussion.</t>
        </is>
      </c>
    </row>
    <row r="12" ht="33.75" customHeight="1" s="36">
      <c r="A12" s="48" t="inlineStr">
        <is>
          <t>Gradebook reconciliation</t>
        </is>
      </c>
      <c r="B12" s="49" t="inlineStr">
        <is>
          <t>3 cohorts</t>
        </is>
      </c>
      <c r="C12" s="66" t="inlineStr">
        <is>
          <t>-</t>
        </is>
      </c>
      <c r="D12" s="66" t="n">
        <v>10</v>
      </c>
      <c r="E12" s="66" t="n"/>
      <c r="F12" s="49" t="inlineStr">
        <is>
          <t>ID-based imports; measure exception handling.</t>
        </is>
      </c>
    </row>
    <row r="13" ht="19.5" customHeight="1" s="36">
      <c r="A13" s="59" t="inlineStr">
        <is>
          <t>TOTAL (hours per semester)</t>
        </is>
      </c>
      <c r="B13" s="60" t="n"/>
      <c r="C13" s="60" t="n"/>
      <c r="D13" s="59">
        <f>SUM(D5:D12)</f>
        <v/>
      </c>
      <c r="E13" s="59">
        <f>IF(COUNT(E5:E12)=ROWS(E5:E12),SUM(E5:E12),"Pilot pending")</f>
        <v/>
      </c>
      <c r="F13" s="60" t="inlineStr">
        <is>
          <t>Blank estimates require measurement during the pilot.</t>
        </is>
      </c>
    </row>
    <row r="14" ht="19.5" customHeight="1" s="36">
      <c r="A14" s="43" t="inlineStr">
        <is>
          <t>Hours saved per semester</t>
        </is>
      </c>
      <c r="B14" s="44" t="n"/>
      <c r="C14" s="44" t="n"/>
      <c r="D14" s="44" t="n"/>
      <c r="E14" s="43">
        <f>IF(ISNUMBER(E13),D13-E13,"Pilot pending")</f>
        <v/>
      </c>
      <c r="F14" s="44" t="inlineStr">
        <is>
          <t>Earlier fixed savings estimates were not measured.</t>
        </is>
      </c>
    </row>
    <row r="16" ht="31.5" customHeight="1" s="36">
      <c r="A16" s="45" t="inlineStr">
        <is>
          <t>ONE-OFF AUTHORING COST: Measure authoring, calibration and exception handling during the pilot. Earlier fixed savings estimates were unverified.</t>
        </is>
      </c>
    </row>
    <row r="18" ht="61.5" customHeight="1" s="36">
      <c r="A18" s="41" t="inlineStr">
        <is>
          <t>Before values are illustrative workload estimates. Blank after values are deliberately unestimated. Measure successful automatic scoring, retries, access support and substantive exceptions in the pilot. The design aims to avoid routine manual marking; no fixed saving is promised before calibration.</t>
        </is>
      </c>
    </row>
  </sheetData>
  <mergeCells count="4">
    <mergeCell ref="A2:F2"/>
    <mergeCell ref="A16:F16"/>
    <mergeCell ref="A1:F1"/>
    <mergeCell ref="A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C00000"/>
    <outlinePr summaryBelow="1" summaryRight="1"/>
    <pageSetUpPr fitToPage="0"/>
  </sheetPr>
  <dimension ref="A1:F22"/>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7" customWidth="1" style="35" min="1" max="1"/>
    <col width="62" customWidth="1" style="35" min="2" max="2"/>
    <col width="14" customWidth="1" style="35" min="3" max="3"/>
    <col width="12" customWidth="1" style="35" min="4" max="4"/>
    <col width="96" customWidth="1" style="35" min="5" max="5"/>
    <col width="26" customWidth="1" style="35" min="6" max="6"/>
  </cols>
  <sheetData>
    <row r="1" ht="25.5" customHeight="1" s="36">
      <c r="A1" s="37" t="inlineStr">
        <is>
          <t>Risk register</t>
        </is>
      </c>
    </row>
    <row r="2" ht="18" customHeight="1" s="36">
      <c r="A2" s="38" t="inlineStr">
        <is>
          <t>18 delivery risks. R1, R2 and R3 require action in the first fortnight.</t>
        </is>
      </c>
    </row>
    <row r="4" ht="31.5" customHeight="1" s="36">
      <c r="A4" s="42" t="inlineStr">
        <is>
          <t>ID</t>
        </is>
      </c>
      <c r="B4" s="42" t="inlineStr">
        <is>
          <t>Risk</t>
        </is>
      </c>
      <c r="C4" s="42" t="inlineStr">
        <is>
          <t>Likelihood</t>
        </is>
      </c>
      <c r="D4" s="42" t="inlineStr">
        <is>
          <t>Impact</t>
        </is>
      </c>
      <c r="E4" s="42" t="inlineStr">
        <is>
          <t>Mitigation</t>
        </is>
      </c>
      <c r="F4" s="42" t="inlineStr">
        <is>
          <t>Owner</t>
        </is>
      </c>
    </row>
    <row r="5" ht="84" customHeight="1" s="36">
      <c r="A5" s="53" t="inlineStr">
        <is>
          <t>R1</t>
        </is>
      </c>
      <c r="B5" s="54" t="inlineStr">
        <is>
          <t>Fri 09 Oct 2026 is Uganda Independence Day. CML3113 (Fri 08:00, Room 105) and CML3111 (Fri 11:00, Room 115) both lose their Week 5 session - the single most important pandas session of the semester. CML3112 (Tue, Room 106) is unaffected.</t>
        </is>
      </c>
      <c r="C5" s="69" t="inlineStr">
        <is>
          <t>Certain</t>
        </is>
      </c>
      <c r="D5" s="69" t="inlineStr">
        <is>
          <t>High</t>
        </is>
      </c>
      <c r="E5" s="54" t="inlineStr">
        <is>
          <t>Teach Week 5 to CML3112 on Tue 06 Oct as normal, and RECORD it - you then have a recording of the actual session rather than a generic one. Publish it plus the Twelve Questions notebook to CML3113 and CML3111 by Wed 07 Oct, hold a 45-minute online clinic that week, and open Week 6 with a 30-minute consolidation for the two Friday cohorts only. Alternatively secure a Faculty-approved make-up slot. Decide by Week 2 - not Week 4.</t>
        </is>
      </c>
      <c r="F5" s="54" t="inlineStr">
        <is>
          <t>Lecturer + Faculty timetabling</t>
        </is>
      </c>
    </row>
    <row r="6" ht="72" customHeight="1" s="36">
      <c r="A6" s="51" t="inlineStr">
        <is>
          <t>R16</t>
        </is>
      </c>
      <c r="B6" s="52" t="inlineStr">
        <is>
          <t>Friday has back-to-back three-hour sessions in different rooms, with no scheduled transition time.</t>
        </is>
      </c>
      <c r="C6" s="68" t="inlineStr">
        <is>
          <t>Certain</t>
        </is>
      </c>
      <c r="D6" s="68" t="inlineStr">
        <is>
          <t>Medium</t>
        </is>
      </c>
      <c r="E6" s="52" t="inlineStr">
        <is>
          <t>Prepare the shared teaching core once, then adapt the dataset and engineering framing for each cohort. Arrange room setup before teaching or with support; do not leave a practical unsupervised to set up another room. Protect both cohorts' scheduled teaching time and learning outcomes. If a disruption affects either session, provide equivalent recovery practice or a make-up slot before the related assessment.</t>
        </is>
      </c>
      <c r="F6" s="52" t="inlineStr">
        <is>
          <t>Lecturer</t>
        </is>
      </c>
    </row>
    <row r="7" ht="72" customHeight="1" s="36">
      <c r="A7" s="53" t="inlineStr">
        <is>
          <t>R17</t>
        </is>
      </c>
      <c r="B7" s="54" t="inlineStr">
        <is>
          <t>Room capacity, power and connectivity need confirmation for each cohort, especially the approximately 100 students in Room 106.</t>
        </is>
      </c>
      <c r="C7" s="69" t="inlineStr">
        <is>
          <t>Likely</t>
        </is>
      </c>
      <c r="D7" s="69" t="inlineStr">
        <is>
          <t>High</t>
        </is>
      </c>
      <c r="E7" s="54" t="inlineStr">
        <is>
          <t>Confirm seats, working sockets, concurrent Colab access and accessible lab capacity with the Faculty. Stage the cohort notebooks and datasets locally for all three cohorts. Pre-provision the offline environment for connectivity failures and the Week 7/14 tests. Confirm any additional test sittings and invigilation before release.</t>
        </is>
      </c>
      <c r="F7" s="54" t="inlineStr">
        <is>
          <t>Lecturer + Faculty</t>
        </is>
      </c>
    </row>
    <row r="8" ht="72" customHeight="1" s="36">
      <c r="A8" s="46" t="inlineStr">
        <is>
          <t>R18</t>
        </is>
      </c>
      <c r="B8" s="47" t="inlineStr">
        <is>
          <t>The Friday 08:00 start makes a clear arrival and catch-up routine useful.</t>
        </is>
      </c>
      <c r="C8" s="65" t="inlineStr">
        <is>
          <t>Likely</t>
        </is>
      </c>
      <c r="D8" s="65" t="inlineStr">
        <is>
          <t>Low</t>
        </is>
      </c>
      <c r="E8" s="47" t="inlineStr">
        <is>
          <t>Start on time with an ungraded recap and the session agenda. Provide catch-up notes for missed introductions. Keep the same assessed outcomes and response-window duration across cohorts; announce any changes explicitly.</t>
        </is>
      </c>
      <c r="F8" s="47" t="inlineStr">
        <is>
          <t>Lecturer</t>
        </is>
      </c>
    </row>
    <row r="9" ht="72" customHeight="1" s="36">
      <c r="A9" s="53" t="inlineStr">
        <is>
          <t>R2</t>
        </is>
      </c>
      <c r="B9" s="54" t="inlineStr">
        <is>
          <t>Cohort A (~100 students) exceeds the capacity of one computer lab, making the Week 7 and Week 14 practical tests unrunnable in a single sitting.</t>
        </is>
      </c>
      <c r="C9" s="69" t="inlineStr">
        <is>
          <t>Likely</t>
        </is>
      </c>
      <c r="D9" s="69" t="inlineStr">
        <is>
          <t>High</t>
        </is>
      </c>
      <c r="E9" s="54" t="inlineStr">
        <is>
          <t>Run the laptop-access survey in Week 1. Escalate to the Faculty in Week 1 with a written capacity request. Plan for two sittings with different dataset variants, or a BYOD-plus-lab hybrid with a checkerboard seating pattern. Confirm by Week 5.</t>
        </is>
      </c>
      <c r="F9" s="54" t="inlineStr">
        <is>
          <t>Faculty + lecturer</t>
        </is>
      </c>
    </row>
    <row r="10" ht="72" customHeight="1" s="36">
      <c r="A10" s="53" t="inlineStr">
        <is>
          <t>R3</t>
        </is>
      </c>
      <c r="B10" s="54" t="inlineStr">
        <is>
          <t>Unreliable connectivity during Colab access and notebook uploads in Week 2.</t>
        </is>
      </c>
      <c r="C10" s="69" t="inlineStr">
        <is>
          <t>Likely</t>
        </is>
      </c>
      <c r="D10" s="69" t="inlineStr">
        <is>
          <t>High</t>
        </is>
      </c>
      <c r="E10" s="54" t="inlineStr">
        <is>
          <t>Use the small Colab-first kit. Stage the cohort ZIPs on USB or a local share and pre-provision the offline notebook environment as the connectivity fallback. Arrange practical support and explain how to retain a local copy when an upload fails.</t>
        </is>
      </c>
      <c r="F10" s="54" t="inlineStr">
        <is>
          <t>Lecturer</t>
        </is>
      </c>
    </row>
    <row r="11" ht="72" customHeight="1" s="36">
      <c r="A11" s="53" t="inlineStr">
        <is>
          <t>R4</t>
        </is>
      </c>
      <c r="B11" s="54" t="inlineStr">
        <is>
          <t>Power outages or network loss can interrupt teaching, collection or a practical test.</t>
        </is>
      </c>
      <c r="C11" s="69" t="inlineStr">
        <is>
          <t>Possible</t>
        </is>
      </c>
      <c r="D11" s="69" t="inlineStr">
        <is>
          <t>High</t>
        </is>
      </c>
      <c r="E11" s="54" t="inlineStr">
        <is>
          <t>Keep the issued notebooks, datasets and task sheets available locally. Practical tests use the prepared offline environment; Colab teaching and Google Forms still require connectivity. Agree a documented interruption, collection and rescheduling procedure with the Faculty before the tests.</t>
        </is>
      </c>
      <c r="F11" s="54" t="inlineStr">
        <is>
          <t>Lecturer + Faculty</t>
        </is>
      </c>
    </row>
    <row r="12" ht="72" customHeight="1" s="36">
      <c r="A12" s="51" t="inlineStr">
        <is>
          <t>R5</t>
        </is>
      </c>
      <c r="B12" s="52" t="inlineStr">
        <is>
          <t>Very wide ability spread. Some students will have some prior exposure; most will have none.</t>
        </is>
      </c>
      <c r="C12" s="68" t="inlineStr">
        <is>
          <t>Certain</t>
        </is>
      </c>
      <c r="D12" s="68" t="inlineStr">
        <is>
          <t>Medium</t>
        </is>
      </c>
      <c r="E12" s="52" t="inlineStr">
        <is>
          <t>Every practical is written in two tiers: a core tier everyone must complete and a stretch tier for those who finish early. Faster students are recruited as floor helpers, which is both scaffolding and recognition. Teams are formed deliberately mixed, not by friendship.</t>
        </is>
      </c>
      <c r="F12" s="52" t="inlineStr">
        <is>
          <t>Lecturer</t>
        </is>
      </c>
    </row>
    <row r="13" ht="72" customHeight="1" s="36">
      <c r="A13" s="51" t="inlineStr">
        <is>
          <t>R6</t>
        </is>
      </c>
      <c r="B13" s="52" t="inlineStr">
        <is>
          <t>Team submissions can obscure individual contributions.</t>
        </is>
      </c>
      <c r="C13" s="68" t="inlineStr">
        <is>
          <t>Likely</t>
        </is>
      </c>
      <c r="D13" s="68" t="inlineStr">
        <is>
          <t>Medium</t>
        </is>
      </c>
      <c r="E13" s="52" t="inlineStr">
        <is>
          <t>The published individual assessment components remain separate from shared project marks. Rotate roles and require a specific contribution log with supporting repository evidence. Week 15 uses submitted individual typed defence answers and reflection; live questioning is formative. Repository-history checks still require a validated evidence route before their marks can be released.</t>
        </is>
      </c>
      <c r="F13" s="52" t="inlineStr">
        <is>
          <t>Lecturer</t>
        </is>
      </c>
    </row>
    <row r="14" ht="72" customHeight="1" s="36">
      <c r="A14" s="51" t="inlineStr">
        <is>
          <t>R7</t>
        </is>
      </c>
      <c r="B14" s="52" t="inlineStr">
        <is>
          <t>Collusion remains possible in a large practical-test sitting.</t>
        </is>
      </c>
      <c r="C14" s="68" t="inlineStr">
        <is>
          <t>Possible</t>
        </is>
      </c>
      <c r="D14" s="68" t="inlineStr">
        <is>
          <t>Medium</t>
        </is>
      </c>
      <c r="E14" s="52" t="inlineStr">
        <is>
          <t>Use matched dataset variants and suitable seating. Offline delivery reduces network communication but does not itself disable local AI tools; maintain invigilated no-AI conditions under Faculty arrangements. Request adequate invigilation for each sitting. Collect the notebook and the individual typed Part B evidence with invigilator-controlled timestamps.</t>
        </is>
      </c>
      <c r="F14" s="52" t="inlineStr">
        <is>
          <t>Lecturer + invigilators</t>
        </is>
      </c>
    </row>
    <row r="15" ht="72" customHeight="1" s="36">
      <c r="A15" s="53" t="inlineStr">
        <is>
          <t>R8</t>
        </is>
      </c>
      <c r="B15" s="54" t="inlineStr">
        <is>
          <t>The number of submissions can exceed one lecturer's manual marking capacity; workload estimates are planning assumptions, not measured savings.</t>
        </is>
      </c>
      <c r="C15" s="69" t="inlineStr">
        <is>
          <t>Certain</t>
        </is>
      </c>
      <c r="D15" s="69" t="inlineStr">
        <is>
          <t>High</t>
        </is>
      </c>
      <c r="E15" s="54" t="inlineStr">
        <is>
          <t>Automate routine checks and calibrate local rubric scoring against representative work. Measure runtime and exception rates on this Mac. Finalize task-specific checks before release. Resolve access and file-format issues separately from grading disagreements; keep unresolved marks blank and seek a reliable automated assessment route rather than assuming every report can be read manually.</t>
        </is>
      </c>
      <c r="F15" s="54" t="inlineStr">
        <is>
          <t>Lecturer + Faculty</t>
        </is>
      </c>
    </row>
    <row r="16" ht="72" customHeight="1" s="36">
      <c r="A16" s="46" t="inlineStr">
        <is>
          <t>R13</t>
        </is>
      </c>
      <c r="B16" s="47" t="inlineStr">
        <is>
          <t>Google Forms requires connectivity; an outage may prevent a cohort from accessing or submitting a quiz.</t>
        </is>
      </c>
      <c r="C16" s="65" t="inlineStr">
        <is>
          <t>Likely</t>
        </is>
      </c>
      <c r="D16" s="65" t="inlineStr">
        <is>
          <t>Low</t>
        </is>
      </c>
      <c r="E16" s="47" t="inlineStr">
        <is>
          <t>Best 10 of 12 provides some flexibility but does not replace a fair opportunity to attempt an assessment. Announce and configure an equivalent replacement response window after an outage, retaining the original record and the reason for the change. Printed questions can support practice; graded submissions must use the verified collection route. Do not silently assign zeros for a system failure.</t>
        </is>
      </c>
      <c r="F16" s="47" t="inlineStr">
        <is>
          <t>Lecturer</t>
        </is>
      </c>
    </row>
    <row r="17" ht="96" customHeight="1" s="36">
      <c r="A17" s="46" t="inlineStr">
        <is>
          <t>R14</t>
        </is>
      </c>
      <c r="B17" s="47" t="inlineStr">
        <is>
          <t>Low-stakes quizzes on personal devices allow answer sharing and should not be treated as proof of unaided competence.</t>
        </is>
      </c>
      <c r="C17" s="65" t="inlineStr">
        <is>
          <t>Likely</t>
        </is>
      </c>
      <c r="D17" s="65" t="inlineStr">
        <is>
          <t>Low</t>
        </is>
      </c>
      <c r="E17" s="47" t="inlineStr">
        <is>
          <t>Use the published 24-hour shared window and the classroom timer as a teaching aid. There is one version per cohort with cohort-specific examples and option order. Verified email and the Student Registration Number support roster matching. Scores, point values and missed-question feedback are visible after submission; correct-answer display is off. The two invigilated practical tests assess unaided work. Differences between quiz and test performance are a reason to investigate, not an automatic penalty.</t>
        </is>
      </c>
      <c r="F17" s="47" t="inlineStr">
        <is>
          <t>Lecturer</t>
        </is>
      </c>
    </row>
    <row r="18" ht="84" customHeight="1" s="36">
      <c r="A18" s="51" t="inlineStr">
        <is>
          <t>R15</t>
        </is>
      </c>
      <c r="B18" s="52" t="inlineStr">
        <is>
          <t>The current assessment setup uses a lecturer-owned Google account; Faculty-approved access, continuity and records arrangements need confirmation.</t>
        </is>
      </c>
      <c r="C18" s="68" t="inlineStr">
        <is>
          <t>Certain</t>
        </is>
      </c>
      <c r="D18" s="68" t="inlineStr">
        <is>
          <t>Medium</t>
        </is>
      </c>
      <c r="E18" s="52" t="inlineStr">
        <is>
          <t>Document the Faculty-approved restricted records location and authorized access. Collect Student Registration Number, verified-account email and the required assessment files, and explain their purpose. Google Forms stores uploads in Google Drive; only the AI assessment happens locally after download. Export records to a restricted Faculty records location, never a student-facing course share. Keep access and retention arrangements explicit.</t>
        </is>
      </c>
      <c r="F18" s="52" t="inlineStr">
        <is>
          <t>Lecturer + Faculty</t>
        </is>
      </c>
    </row>
    <row r="19" ht="72" customHeight="1" s="36">
      <c r="A19" s="51" t="inlineStr">
        <is>
          <t>R9</t>
        </is>
      </c>
      <c r="B19" s="52" t="inlineStr">
        <is>
          <t>Students may submit work they cannot explain, including AI-assisted work.</t>
        </is>
      </c>
      <c r="C19" s="68" t="inlineStr">
        <is>
          <t>Likely</t>
        </is>
      </c>
      <c r="D19" s="68" t="inlineStr">
        <is>
          <t>Medium</t>
        </is>
      </c>
      <c r="E19" s="52" t="inlineStr">
        <is>
          <t>Require an AI-use declaration for coursework. Both practical tests prohibit AI and use invigilated offline arrangements; offline mode alone does not enforce that rule. Individual typed defence and Part B answers assess submitted explanations. Do not infer misconduct from writing style or an automated AI detector.</t>
        </is>
      </c>
      <c r="F19" s="52" t="inlineStr">
        <is>
          <t>Lecturer</t>
        </is>
      </c>
    </row>
    <row r="20" ht="72" customHeight="1" s="36">
      <c r="A20" s="51" t="inlineStr">
        <is>
          <t>R10</t>
        </is>
      </c>
      <c r="B20" s="52" t="inlineStr">
        <is>
          <t>External dataset links, access conditions or availability can change before teaching.</t>
        </is>
      </c>
      <c r="C20" s="68" t="inlineStr">
        <is>
          <t>Possible</t>
        </is>
      </c>
      <c r="D20" s="68" t="inlineStr">
        <is>
          <t>Medium</t>
        </is>
      </c>
      <c r="E20" s="52" t="inlineStr">
        <is>
          <t>Stage the selected dataset and a tested fallback before use, with provenance, permitted use and file hashes recorded. Distinguish already supplied teaching data from planned external downloads. Recheck the selected source before distribution; avoid depending on a live download during class.</t>
        </is>
      </c>
      <c r="F20" s="52" t="inlineStr">
        <is>
          <t>Lecturer</t>
        </is>
      </c>
    </row>
    <row r="21" ht="72" customHeight="1" s="36">
      <c r="A21" s="51" t="inlineStr">
        <is>
          <t>R11</t>
        </is>
      </c>
      <c r="B21" s="52" t="inlineStr">
        <is>
          <t>The 13 teaching weeks slip, and the project is squeezed.</t>
        </is>
      </c>
      <c r="C21" s="68" t="inlineStr">
        <is>
          <t>Possible</t>
        </is>
      </c>
      <c r="D21" s="68" t="inlineStr">
        <is>
          <t>Medium</t>
        </is>
      </c>
      <c r="E21" s="52" t="inlineStr">
        <is>
          <t>Weeks 11 and 12 carry deliberate compressible content. The project runs as a strand from Week 9 with four milestones, so it is not dependent on a single studio session. If a week is lost, cut the Week 12 defence round to 15 minutes rather than cutting a project milestone.</t>
        </is>
      </c>
      <c r="F21" s="52" t="inlineStr">
        <is>
          <t>Lecturer</t>
        </is>
      </c>
    </row>
    <row r="22" ht="72" customHeight="1" s="36">
      <c r="A22" s="46" t="inlineStr">
        <is>
          <t>R12</t>
        </is>
      </c>
      <c r="B22" s="47" t="inlineStr">
        <is>
          <t>Semester 2 begins with the cohort having forgotten Semester 1.</t>
        </is>
      </c>
      <c r="C22" s="65" t="inlineStr">
        <is>
          <t>Likely</t>
        </is>
      </c>
      <c r="D22" s="65" t="inlineStr">
        <is>
          <t>Low</t>
        </is>
      </c>
      <c r="E22" s="47" t="inlineStr">
        <is>
          <t>The Week 15 reflection requires two named Semester 2 goals. An optional holiday challenge is issued. Semester 2 Weeks 1-2 are designed as review-through-application, not as re-teaching.</t>
        </is>
      </c>
      <c r="F22" s="47" t="inlineStr">
        <is>
          <t>Lecturer</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2026-09-15T02:38:54Z</dcterms:created>
  <dcterms:modified xmlns:dcterms="http://purl.org/dc/terms/" xmlns:xsi="http://www.w3.org/2001/XMLSchema-instance" xsi:type="dcterms:W3CDTF">2026-10-30T14:41:13Z</dcterms:modified>
  <cp:revision>0</cp:revision>
</cp:coreProperties>
</file>