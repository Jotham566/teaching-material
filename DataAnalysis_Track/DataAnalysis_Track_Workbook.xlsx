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ession grid" sheetId="1" state="visible" r:id="rId3"/>
    <sheet name="Three-hour block" sheetId="2" state="visible" r:id="rId4"/>
    <sheet name="Assessment" sheetId="3" state="visible" r:id="rId5"/>
    <sheet name="Mark sheet" sheetId="4" state="visible" r:id="rId6"/>
    <sheet name="Datasets" sheetId="5" state="visible" r:id="rId7"/>
    <sheet name="Answer key" sheetId="6" state="visible" r:id="rId8"/>
    <sheet name="Glossary" sheetId="7" state="visible" r:id="rId9"/>
    <sheet name="What was cu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<sst xmlns="http://schemas.openxmlformats.org/spreadsheetml/2006/main" count="544" uniqueCount="469">
  <si>
    <t xml:space="preserve">Data Analysis with Python, SQL and Power BI</t>
  </si>
  <si>
    <t xml:space="preserve">Five weeks, fifteen sessions, forty-five hours · 45 hours · every session, in order</t>
  </si>
  <si>
    <t xml:space="preserve">#</t>
  </si>
  <si>
    <t xml:space="preserve">Week</t>
  </si>
  <si>
    <t xml:space="preserve">Tool</t>
  </si>
  <si>
    <t xml:space="preserve">Title</t>
  </si>
  <si>
    <t xml:space="preserve">New words</t>
  </si>
  <si>
    <t xml:space="preserve">roadmap.sh topic</t>
  </si>
  <si>
    <t xml:space="preserve">Teach block 1</t>
  </si>
  <si>
    <t xml:space="preserve">Teach block 2</t>
  </si>
  <si>
    <t xml:space="preserve">Lab, last 50 minutes</t>
  </si>
  <si>
    <t xml:space="preserve">Foundations</t>
  </si>
  <si>
    <t xml:space="preserve">From a spreadsheet to data</t>
  </si>
  <si>
    <t xml:space="preserve">What is data analysis; the analyst's workflow</t>
  </si>
  <si>
    <t xml:space="preserve">Requests against questions. Four real requests from a manager, each rewritten into a question you could actually answer, and one rewritten three different ways to show the original was ambiguous. The rule for the rest of the course: no analysis starts until the question has a number, a population and a window.</t>
  </si>
  <si>
    <t xml:space="preserve">The words, on a real table. The anatomy figure on the screen and the same five rows open in Excel: row, column, cell, header, primary key, and the Excel word beside each. Then data types, and grain, which is the one that matters: every table in this course gets its grain said out loud before it is used.</t>
  </si>
  <si>
    <t xml:space="preserve">Open the course data in Excel. Write down, for each of the six files: what one row is, how many rows there are, and which column could never repeat. Then take the three requests on your sheet and turn each into an answerable question.</t>
  </si>
  <si>
    <t xml:space="preserve">Why data lives in several tables</t>
  </si>
  <si>
    <t xml:space="preserve">Data modelling basics; relational thinking</t>
  </si>
  <si>
    <t xml:space="preserve">Why not one big sheet. Start from the flat export everybody recognises and break it: a customer changes region, and the same fact now has to be edited in four hundred rows, some of which get missed. Then the same data as six tables, and the same change made once. Keys, primary and foreign, drawn on the screen.</t>
  </si>
  <si>
    <t xml:space="preserve">Grain, and what a join does to it. The grain figure: one row is one order against one row is one order line. Then the join figure: INNER against LEFT, and the walk-in orders that disappear from one and survive the other. No SQL yet. This is done by clicking through the tables in DB Browser so the idea lands before the syntax does.</t>
  </si>
  <si>
    <t xml:space="preserve">In DB Browser, on the Browse Data tab, with no SQL at all: find the six tables, write down the grain of each, find the primary key of each, and find which column in orders points at customers. Then find an order with no customer and say what you think that means.</t>
  </si>
  <si>
    <t xml:space="preserve">SQL</t>
  </si>
  <si>
    <t xml:space="preserve">Asking a database for rows</t>
  </si>
  <si>
    <t xml:space="preserve">SQL: SELECT, WHERE, ORDER BY, LIMIT, NULL</t>
  </si>
  <si>
    <t xml:space="preserve">A table is rows and columns, and a query is a description of the rows you want. SELECT, FROM, WHERE, ORDER BY, LIMIT, typed live against the orders table, checking the row count after every clause. Each one is shown beside the Excel action it replaces, so nothing feels new for its own sake.</t>
  </si>
  <si>
    <t xml:space="preserve">NULL, and why it needs its own half hour. A missing value is not zero, so any comparison with it comes back neither true nor false, and a filter written with = NULL returns nothing at all with no error. Then COUNT(*) against COUNT(customer_id) on a table that has both, which is the session's one surprise.</t>
  </si>
  <si>
    <t xml:space="preserve">Eight questions of rising difficulty against the course database. Answers are on the sheet, so check yourself as you go rather than at the end. Write the query before you read the answer.</t>
  </si>
  <si>
    <t xml:space="preserve">Counting and grouping</t>
  </si>
  <si>
    <t xml:space="preserve">SQL: aggregates, GROUP BY, HAVING</t>
  </si>
  <si>
    <t xml:space="preserve">This session is a pivot table, written down. Say that first: the room already knows what they want, and GROUP BY is the vocabulary for it. COUNT, SUM, AVG, MIN, MAX, then GROUP BY on one column, then two, with the pivot table built beside it in Excel for the first example so the mapping is visible.</t>
  </si>
  <si>
    <t xml:space="preserve">HAVING, and the difference between filtering rows and filtering groups, demonstrated by getting it wrong first and reading the error out loud. Then revenue, which is not a column: the definition used for the rest of the course, and why every revenue question has to say which order statuses it counts.</t>
  </si>
  <si>
    <t xml:space="preserve">Revenue by channel, by segment and by month, delivered orders only. Then the same three figures as a pivot table in Excel from the exported CSV, and confirm they agree.</t>
  </si>
  <si>
    <t xml:space="preserve">Joining tables, carefully</t>
  </si>
  <si>
    <t xml:space="preserve">SQL: INNER and LEFT JOIN, CTEs</t>
  </si>
  <si>
    <t xml:space="preserve">The join, in SQL now that the idea is already familiar from session 2. INNER, then LEFT, with the row count checked each time, because the number of rows is the fastest way to find out you joined wrongly. The walk-in orders vanish from the inner join, and with them a visible amount of revenue.</t>
  </si>
  <si>
    <t xml:space="preserve">Fan-out, which is the dangerous one: joining orders to order lines and then summing an order-level column gives a number far too big, and nothing warns you except a row count that moved. Then CTEs: three short named steps instead of one nested query, and each step checked on its own before the next is written.</t>
  </si>
  <si>
    <t xml:space="preserve">Build the revenue report the sales manager wants: revenue by rep by month for 2025, net of returns. Three CTEs, checked step by step. This is Checkpoint 1 and it is marked against the key tonight.</t>
  </si>
  <si>
    <t xml:space="preserve">Python</t>
  </si>
  <si>
    <t xml:space="preserve">Your first program</t>
  </si>
  <si>
    <t xml:space="preserve">Python basics: variables, types, functions, errors</t>
  </si>
  <si>
    <t xml:space="preserve">You already write code. Open a spreadsheet formula, =IF(B2&gt;1000, "large", "small"), and name its parts: a function, its arguments, a condition, a result. Python is that with the brackets in different places. Then, live: a variable, four types, a list, a function you write yourself, and an error on purpose so the traceback is read out loud in the first half hour rather than feared for a week.</t>
  </si>
  <si>
    <t xml:space="preserve">import pandas as pd, and the first DataFrame. read_csv, then shape, then head. Three commands, and the room can see their own data in a new tool. Then the two things that catch every Excel user: counting from zero, and a column having one type all the way down.</t>
  </si>
  <si>
    <t xml:space="preserve">Type it yourself, from a blank notebook: load the orders file, print the shape, print the first five rows, print the column types, and make one deliberate error and read the traceback out loud to your neighbour.</t>
  </si>
  <si>
    <t xml:space="preserve">Reading a file, and looking at it</t>
  </si>
  <si>
    <t xml:space="preserve">pandas: loading, inspecting, selecting, filtering</t>
  </si>
  <si>
    <t xml:space="preserve">The profiling routine, in a fixed order, on the course data: shape, head, dtypes, info, isna, value_counts. Six commands, two minutes, and afterwards you can say what the file can and cannot answer. Each command is shown next to what you would have done in Excel and how long that would have taken.</t>
  </si>
  <si>
    <t xml:space="preserve">Selecting and filtering: one column, several columns, rows by condition, then two conditions and the brackets that are not optional. Then the failure everybody meets: a price column that arrived as text, and the sum that silently concatenates instead of adding.</t>
  </si>
  <si>
    <t xml:space="preserve">Online Retail II: a real file of 1,067,371 rows, which is more than a spreadsheet will open comfortably. Produce the six-command profile, then three sentences on what the file is a record of.</t>
  </si>
  <si>
    <t xml:space="preserve">Cleaning, and writing down what you did</t>
  </si>
  <si>
    <t xml:space="preserve">Data cleaning and preparation</t>
  </si>
  <si>
    <t xml:space="preserve">Seven defects, on data where the right answer is known: duplicate rows, returns recorded as negative quantities, one category priced in dollars, discounts typed as percentages, two date formats in one column, messy customer names, and missing customer ids. Each is found with two lines and fixed with two more.</t>
  </si>
  <si>
    <t xml:space="preserve">The decision, not the code, is the work. Dropping a row, filling a value and leaving it alone are three defensible choices with different consequences, and the choice belongs in writing beside the number. Then the log, and the reconciliation that catches the mistakes cleaning introduces.</t>
  </si>
  <si>
    <t xml:space="preserve">Clean the raw extract from rows-in to rows-out, keeping the log as you go. Your revenue total has a target. You will land just below it, and finding out why is the exercise.</t>
  </si>
  <si>
    <t xml:space="preserve">Grouping and joining in pandas</t>
  </si>
  <si>
    <t xml:space="preserve">pandas: groupby, merge; reconciling against SQL</t>
  </si>
  <si>
    <t xml:space="preserve">groupby as split, apply, combine, said in those words and then shown. One key, several keys, several aggregations at once, named output columns, and reset_index, which is the four characters that turn a confusing result into a table.</t>
  </si>
  <si>
    <t xml:space="preserve">merge: the how argument against SQL's join types, indicator to see what matched, and validate to make pandas raise rather than fan out. Then the reconciliation: the same report from SQL and from pandas, set side by side, and every difference named.</t>
  </si>
  <si>
    <t xml:space="preserve">Rebuild session 5's rep revenue report in pandas and reconcile it against the SQL output row by row. This is Checkpoint 2. Finding a real difference and explaining it scores higher than a clean match you cannot account for.</t>
  </si>
  <si>
    <t xml:space="preserve">Statistics</t>
  </si>
  <si>
    <t xml:space="preserve">Describing one column</t>
  </si>
  <si>
    <t xml:space="preserve">Descriptive statistics; distributions</t>
  </si>
  <si>
    <t xml:space="preserve">What a statistic is, before any particular one: one number standing in for many, which always throws something away. Then mean, median and mode computed by hand on ten numbers on the board, so nobody is taking AVERAGE on faith, and then the same three in Excel and in pandas.</t>
  </si>
  <si>
    <t xml:space="preserve">Shape decides which statistic is honest. The distribution figure, then the real order values from the course data: mean well above median, a long tail, and a mean that is bigger than four orders in five. Percentiles as the fix, read off a number line.</t>
  </si>
  <si>
    <t xml:space="preserve">Describe three columns of the course data: pick the right statistic for each, draw the histogram, and write one sentence on why the mean would mislead on at least one of them.</t>
  </si>
  <si>
    <t xml:space="preserve">Comparing groups, and reading time</t>
  </si>
  <si>
    <t xml:space="preserve">Rates and proportions; time series basics</t>
  </si>
  <si>
    <t xml:space="preserve">Counts against rates, on the returns data where the two disagree: one region has the most returns and another has the highest rate, and they call for different actions. Then percentages, and percentage points, which get confused in public by people who should know better.</t>
  </si>
  <si>
    <t xml:space="preserve">Time. Resample to a month, then a moving average, then the question that matters: is this growth or is it the calendar? December against February in both years, and year on year as the test. Same data, two arithmetics, opposite headlines.</t>
  </si>
  <si>
    <t xml:space="preserve">Five statements about this business, each of which sounds plausible. Decide which are supported, which are unsupported and which are unanswerable, and attach a number to every verdict.</t>
  </si>
  <si>
    <t xml:space="preserve">Charts</t>
  </si>
  <si>
    <t xml:space="preserve">Charts that answer the question</t>
  </si>
  <si>
    <t xml:space="preserve">Data visualisation; choosing the right chart</t>
  </si>
  <si>
    <t xml:space="preserve">The anatomy figure first: every part of a chart named, because you cannot be told to label an axis if nobody has said which part is the axis. Then the four charts and the question each answers: line for change over time, bar for comparison, histogram for a distribution, scatter for a relationship.</t>
  </si>
  <si>
    <t xml:space="preserve">Honesty and its opposite, each shown beside its corrected version: the truncated axis, the dual axis, the pie chart with eleven slices, the bar chart sorted alphabetically. Then the title rule, which is the whole session in one line: the title states the finding. And the question asked of every chart from here on, which is what it does not show.</t>
  </si>
  <si>
    <t xml:space="preserve">Three charts answering three of the questions from week one. Each titled with its finding, each with labelled axes and units, and each with one sentence underneath naming what it hides.</t>
  </si>
  <si>
    <t xml:space="preserve">Investigation</t>
  </si>
  <si>
    <t xml:space="preserve">A whole investigation, end to end</t>
  </si>
  <si>
    <t xml:space="preserve">Exploratory data analysis; the write-up</t>
  </si>
  <si>
    <t xml:space="preserve">The routine, written up and followed live on a dataset nobody has seen: what is this file a record of, what is one row, what is the window, what is missing, what does the main quantity look like, what moves with what, and what would change my mind.</t>
  </si>
  <si>
    <t xml:space="preserve">From notebook to finding. Eleven observations become five findings by striking anything about the data rather than the business, merging duplicates, and ranking what is left by what somebody could do about it. Then the limitation beside each one.</t>
  </si>
  <si>
    <t xml:space="preserve">Run the routine on the sector dataset you chose: banking and telecom, energy and manufacturing, or public sector and development. Use the fixed Bank Marketing, synthetic AI4I or Uganda GDP snapshot. Five findings with numbers. This is the sector assessment and it is marked on the findings, not the code.</t>
  </si>
  <si>
    <t xml:space="preserve">Power BI</t>
  </si>
  <si>
    <t xml:space="preserve">Getting data in, and modelling it</t>
  </si>
  <si>
    <t xml:space="preserve">BI tools: loading, transformation, data modelling</t>
  </si>
  <si>
    <t xml:space="preserve">Power BI is three products people confuse: Power Query gets and shapes, the model relates, the report shows. Get Data from CSV, then Power Query: promote headers, set types, trim, remove duplicates. The Applied Steps list as the same idea as the cleaning log from session 8.</t>
  </si>
  <si>
    <t xml:space="preserve">The model: orders links order_items to customers and reps. Inspect the four relationships built by hand after deleting every one Power BI guessed. A deliberately wrong relationship first, so the wrong total is seen before the rule is stated. Then the date table, and marking it.</t>
  </si>
  <si>
    <t xml:space="preserve">Load the course data, build the model, and produce three visuals whose totals match the numbers you already got in SQL and in pandas. Matching is the mark.</t>
  </si>
  <si>
    <t xml:space="preserve">Measures, a dashboard, and presenting it</t>
  </si>
  <si>
    <t xml:space="preserve">BI tools: DAX basics, dashboards; reporting and storytelling</t>
  </si>
  <si>
    <t xml:space="preserve">Three measures and one rule: a measure is evaluated in the filter context of whatever asked for it, which is why it is not a column. SUM, DIVIDE instead of the division operator, and CALCULATE to change the filter. Each checked against a figure from week two.</t>
  </si>
  <si>
    <t xml:space="preserve">Design for thirty seconds: the number they came for top left, no more than five visuals, one accent colour, one slicer, and a title that states the finding. Then the five-minute presentation structure: the question, the answer with its number, how you know, what you traded, and what would change your answer.</t>
  </si>
  <si>
    <t xml:space="preserve">Finish the dashboard in 50 minutes. Submit a five-minute narrated presentation. The final hour contains selected demonstrations and 20 minutes on applying the analysis at work.</t>
  </si>
  <si>
    <t xml:space="preserve">The three-hour block</t>
  </si>
  <si>
    <t xml:space="preserve">The same shape every session. Minutes sum to 180, checked by scripts/verify_da_track.py</t>
  </si>
  <si>
    <t xml:space="preserve">Minutes</t>
  </si>
  <si>
    <t xml:space="preserve">Running</t>
  </si>
  <si>
    <t xml:space="preserve">What</t>
  </si>
  <si>
    <t xml:space="preserve">Why</t>
  </si>
  <si>
    <t xml:space="preserve">Recap, and the words for tonight</t>
  </si>
  <si>
    <t xml:space="preserve">What we settled last session, then the three or four terms this session will use. Beginners lose sessions to undefined vocabulary more than to difficult ideas.</t>
  </si>
  <si>
    <t xml:space="preserve">Live, on the screen, typed out. Participants follow along on their own machines rather than watching.</t>
  </si>
  <si>
    <t xml:space="preserve">Break</t>
  </si>
  <si>
    <t xml:space="preserve">Off screens. This one is not optional after a work day.</t>
  </si>
  <si>
    <t xml:space="preserve">The second half of the technique, then the failure modes: what it looks like when this goes wrong, and how you notice.</t>
  </si>
  <si>
    <t xml:space="preserve">Short. Stand up.</t>
  </si>
  <si>
    <t xml:space="preserve">Lab</t>
  </si>
  <si>
    <t xml:space="preserve">Participants work the lab; the instructor circulates. Anything asked twice gets answered to the whole room.</t>
  </si>
  <si>
    <t xml:space="preserve">Wrap</t>
  </si>
  <si>
    <t xml:space="preserve">One thing to practise before next time, the homework, and the single sentence you should be able to say about tonight.</t>
  </si>
  <si>
    <t xml:space="preserve">Total, which must be 180</t>
  </si>
  <si>
    <t xml:space="preserve">Assessment</t>
  </si>
  <si>
    <t xml:space="preserve">Weights must total 100</t>
  </si>
  <si>
    <t xml:space="preserve">Weight</t>
  </si>
  <si>
    <t xml:space="preserve">When</t>
  </si>
  <si>
    <t xml:space="preserve">How it is marked</t>
  </si>
  <si>
    <t xml:space="preserve">Checkpoint 1 — the rep revenue report</t>
  </si>
  <si>
    <t xml:space="preserve">Session 5</t>
  </si>
  <si>
    <t xml:space="preserve">One SQL query with three named steps, marked against the answer key. Either the numbers match or they do not, so feedback is immediate.</t>
  </si>
  <si>
    <t xml:space="preserve">Checkpoint 2 — reconciliation and cleaning log</t>
  </si>
  <si>
    <t xml:space="preserve">Session 9</t>
  </si>
  <si>
    <t xml:space="preserve">The same report in pandas, reconciled against the SQL, with the log that makes the starting numbers reproducible. Marked on the log as much as the answer.</t>
  </si>
  <si>
    <t xml:space="preserve">Sector investigation</t>
  </si>
  <si>
    <t xml:space="preserve">Session 13</t>
  </si>
  <si>
    <t xml:space="preserve">Five findings on a sector dataset, each with a number, a chart and a stated limitation. Marked on the findings, not the code.</t>
  </si>
  <si>
    <t xml:space="preserve">Capstone</t>
  </si>
  <si>
    <t xml:space="preserve">Session 15</t>
  </si>
  <si>
    <t xml:space="preserve">A dashboard whose totals reconcile, one page of recommendation, and a five-minute presentation with narration in speaker notes. Marked on whether a decision maker could act on it.</t>
  </si>
  <si>
    <t xml:space="preserve">Total</t>
  </si>
  <si>
    <t xml:space="preserve">Participant mark sheet</t>
  </si>
  <si>
    <t xml:space="preserve">Type marks out of 100 in the blue cells. The weighted total is a formula and recalculates as you go.</t>
  </si>
  <si>
    <t xml:space="preserve">Participant</t>
  </si>
  <si>
    <t xml:space="preserve">Email</t>
  </si>
  <si>
    <t xml:space="preserve">Weighted total</t>
  </si>
  <si>
    <t xml:space="preserve">Standing</t>
  </si>
  <si>
    <t xml:space="preserve">Example: Grace Nabirye</t>
  </si>
  <si>
    <t xml:space="preserve">grace@example.com</t>
  </si>
  <si>
    <t xml:space="preserve">The weighted total divides by the weight of the pieces ACTUALLY marked, so a participant halfway through the course shows their standing on what they have done rather than being penalised for work not yet set.</t>
  </si>
  <si>
    <t xml:space="preserve">Bands are a placeholder: 70 distinction, 50 pass. Replace them with the awarding body's if there is one.</t>
  </si>
  <si>
    <t xml:space="preserve">Datasets, with licences checked</t>
  </si>
  <si>
    <t xml:space="preserve">Nothing in this list is NonCommercial or internal-use, so the track is safe for commercial delivery</t>
  </si>
  <si>
    <t xml:space="preserve">Dataset</t>
  </si>
  <si>
    <t xml:space="preserve">Where</t>
  </si>
  <si>
    <t xml:space="preserve">Licence</t>
  </si>
  <si>
    <t xml:space="preserve">Shape</t>
  </si>
  <si>
    <t xml:space="preserve">Account</t>
  </si>
  <si>
    <t xml:space="preserve">What it is for</t>
  </si>
  <si>
    <t xml:space="preserve">Riverside Distributors (course dataset)</t>
  </si>
  <si>
    <t xml:space="preserve">built by DataAnalysis_Track/data/build_teaching_data.py</t>
  </si>
  <si>
    <t xml:space="preserve">Course-owned. Generated, so it can be redistributed freely, including on a commercial course.</t>
  </si>
  <si>
    <t xml:space="preserve">6 tables, about 6,000 orders and 20,000 order lines over two years, plus returns and a daily FX series</t>
  </si>
  <si>
    <t xml:space="preserve">none</t>
  </si>
  <si>
    <t xml:space="preserve">The spine of the track, and small enough that a beginner can check it by hand. It is a wholesale distributor: customers, products, sales reps, orders, order lines, returns. Every lab answer is computed by the generator and stored in answer_key.json, so a participant knows within seconds whether they are right, and no number in any handout was estimated.</t>
  </si>
  <si>
    <t xml:space="preserve">Online Retail II</t>
  </si>
  <si>
    <t xml:space="preserve">https://archive.ics.uci.edu/dataset/502/online+retail+ii</t>
  </si>
  <si>
    <t xml:space="preserve">CC BY 4.0</t>
  </si>
  <si>
    <t xml:space="preserve">1,067,371 rows x 8 columns, .xlsx, Dec 2009 to Dec 2011</t>
  </si>
  <si>
    <t xml:space="preserve">The first real file they meet, in week three. One flat table of invoices, which is the shape data actually arrives in. Also the first file too big for Excel to open comfortably, which is the moment the course justifies itself.</t>
  </si>
  <si>
    <t xml:space="preserve">Bank Marketing (UCI 222)</t>
  </si>
  <si>
    <t xml:space="preserve">https://archive.ics.uci.edu/dataset/222/bank+marketing</t>
  </si>
  <si>
    <t xml:space="preserve">bank-full.csv is 45,211 rows x 17; bank-additional-full.csv is 41,188 rows x 21. They are different files: say which one.</t>
  </si>
  <si>
    <t xml:space="preserve">Banking, finance and telecom capstone. Campaign contacts against an outcome, so it carries segmentation, rates and cross-tabs. Call duration is known only after the call, so it must not justify pre-call targeting decisions.</t>
  </si>
  <si>
    <t xml:space="preserve">AI4I 2020 Predictive Maintenance (UCI 601)</t>
  </si>
  <si>
    <t xml:space="preserve">https://archive.ics.uci.edu/dataset/601/ai4i+2020+predictive+maintenance+dataset</t>
  </si>
  <si>
    <t xml:space="preserve">10,000 rows x 14 columns, one CSV. Failures are about 3.4% of rows</t>
  </si>
  <si>
    <t xml:space="preserve">Energy, mining and manufacturing capstone. Synthetic machine observations against a failure flag. The imbalance is the point: a rule that predicts no failure is 96.6% accurate and useless.</t>
  </si>
  <si>
    <t xml:space="preserve">World Bank Open Data indicators API</t>
  </si>
  <si>
    <t xml:space="preserve">https://api.worldbank.org/v2/country/UG/indicator/NY.GDP.MKTP.CD?format=json</t>
  </si>
  <si>
    <t xml:space="preserve">CC BY 4.0, with additional terms on the portal</t>
  </si>
  <si>
    <t xml:space="preserve">About 16,000 indicators. JSON, 50 records a page by default</t>
  </si>
  <si>
    <t xml:space="preserve">No key. Authentication was removed entirely.</t>
  </si>
  <si>
    <t xml:space="preserve">Government, NGO and health capstone. The URL above works in a browser address bar, which is the cheapest possible way to show a beginner what an API actually is.</t>
  </si>
  <si>
    <t xml:space="preserve">Uganda Healthsites</t>
  </si>
  <si>
    <t xml:space="preserve">https://data.humdata.org/dataset/uganda-healthsites</t>
  </si>
  <si>
    <t xml:space="preserve">ODbL. Share-alike applies to a derived database, so say so if participants publish anything built on it.</t>
  </si>
  <si>
    <t xml:space="preserve">About 7,969 facilities. CSV, SHP and GeoJSON, with name, facility type, activities and coordinates</t>
  </si>
  <si>
    <t xml:space="preserve">The local dataset. Real Ugandan records with categories and coordinates, which makes the Power BI map land on data the room recognises.</t>
  </si>
  <si>
    <t xml:space="preserve">Considered and rejected</t>
  </si>
  <si>
    <t xml:space="preserve">Sample - Superstore</t>
  </si>
  <si>
    <t xml:space="preserve">The best shape on offer and the worst licence: use is governed by the Tableau EULA, whose sample-code clause is internal use only and not sublicensable. Every Kaggle and GitHub copy lists the licence as unknown. It cannot be redistributed to a class.</t>
  </si>
  <si>
    <t xml:space="preserve">Olist Brazilian E-Commerce</t>
  </si>
  <si>
    <t xml:space="preserve">Nine related tables and a genuine star schema, which is what the core dataset needed, but CC BY-NC-SA 4.0. The NonCommercial clause is a live problem the moment the course is paid for, so the course dataset is generated instead and the schema lesson is kept.</t>
  </si>
  <si>
    <t xml:space="preserve">IBM Telco Customer Churn and IBM HR Analytics Attrition</t>
  </si>
  <si>
    <t xml:space="preserve">No licence could be found for either. There are open, unanswered forum threads from people asking for the Telco licence for exactly this purpose, and the HR set appears to have needed prior permission from its administrator.</t>
  </si>
  <si>
    <t xml:space="preserve">WHO Global Health Observatory OData API</t>
  </si>
  <si>
    <t xml:space="preserve">Mechanically ideal, including a documented Power BI OData path. WHO's confirmed licence is CC BY-NC-SA 3.0 IGO and covers publications; no dataset-specific terms page could be retrieved. NonCommercial again.</t>
  </si>
  <si>
    <t xml:space="preserve">DHIS2 play instance</t>
  </si>
  <si>
    <t xml:space="preserve">The database is wiped nightly, the version paths rotate, and there is a documented history of the default credentials breaking. Fine as a live look at what an HMIS is, unusable as something a lab depends on.</t>
  </si>
  <si>
    <t xml:space="preserve">Answer key for the course dataset</t>
  </si>
  <si>
    <t xml:space="preserve">Computed by data/build_teaching_data.py from the same data the participants get. Re-run the generator and this sheet is rebuilt with it.</t>
  </si>
  <si>
    <t xml:space="preserve">Value</t>
  </si>
  <si>
    <t xml:space="preserve">Where it is used</t>
  </si>
  <si>
    <t xml:space="preserve">Orders</t>
  </si>
  <si>
    <t xml:space="preserve">SQL lab question 1</t>
  </si>
  <si>
    <t xml:space="preserve">Orders, delivered</t>
  </si>
  <si>
    <t xml:space="preserve">question 2</t>
  </si>
  <si>
    <t xml:space="preserve">Orders, cancelled</t>
  </si>
  <si>
    <t xml:space="preserve">COUNT(*) on orders</t>
  </si>
  <si>
    <t xml:space="preserve">question 3, the NULL lesson</t>
  </si>
  <si>
    <t xml:space="preserve">COUNT(customer_id) on orders</t>
  </si>
  <si>
    <t xml:space="preserve">question 3</t>
  </si>
  <si>
    <t xml:space="preserve">Revenue, all lines, UGX</t>
  </si>
  <si>
    <t xml:space="preserve">question 6</t>
  </si>
  <si>
    <t xml:space="preserve">Revenue, delivered, UGX</t>
  </si>
  <si>
    <t xml:space="preserve">question 7, and the Python lab target</t>
  </si>
  <si>
    <t xml:space="preserve">Revenue lost to an INNER JOIN, UGX</t>
  </si>
  <si>
    <t xml:space="preserve">question 8, the walk-in trap</t>
  </si>
  <si>
    <t xml:space="preserve">Orders with no customer</t>
  </si>
  <si>
    <t xml:space="preserve">question 8</t>
  </si>
  <si>
    <t xml:space="preserve">Value of everything returned, UGX</t>
  </si>
  <si>
    <t xml:space="preserve">session 3 report</t>
  </si>
  <si>
    <t xml:space="preserve">Revenue from the raw CSVs, UGX</t>
  </si>
  <si>
    <t xml:space="preserve">where a correct pandas clean actually lands</t>
  </si>
  <si>
    <t xml:space="preserve">Cent-rounding residual, UGX</t>
  </si>
  <si>
    <t xml:space="preserve">the precision lesson in session 5</t>
  </si>
  <si>
    <t xml:space="preserve">Mean order value, UGX</t>
  </si>
  <si>
    <t xml:space="preserve">session 7, mean against median</t>
  </si>
  <si>
    <t xml:space="preserve">Median order value, UGX</t>
  </si>
  <si>
    <t xml:space="preserve">session 7</t>
  </si>
  <si>
    <t xml:space="preserve">Mean divided by median</t>
  </si>
  <si>
    <t xml:space="preserve">session 7, how skewed it is</t>
  </si>
  <si>
    <t xml:space="preserve">90th percentile order value, UGX</t>
  </si>
  <si>
    <t xml:space="preserve">session 7, percentiles</t>
  </si>
  <si>
    <t xml:space="preserve">Region and month breakdowns are in DataAnalysis_Track/data/answer_key.json, which is the machine-readable version of this sheet.</t>
  </si>
  <si>
    <t xml:space="preserve">Every word the track uses</t>
  </si>
  <si>
    <t xml:space="preserve">92 terms, generated from the sessions themselves so it cannot drift from what was taught</t>
  </si>
  <si>
    <t xml:space="preserve">Term</t>
  </si>
  <si>
    <t xml:space="preserve">What it means</t>
  </si>
  <si>
    <t xml:space="preserve">In a spreadsheet</t>
  </si>
  <si>
    <t xml:space="preserve">Taught in session</t>
  </si>
  <si>
    <t xml:space="preserve">Aggregate</t>
  </si>
  <si>
    <t xml:space="preserve">A calculation that collapses many rows into one number: count, sum, average, minimum, maximum.</t>
  </si>
  <si>
    <t xml:space="preserve">What a pivot table does in its value area</t>
  </si>
  <si>
    <t xml:space="preserve">Alias</t>
  </si>
  <si>
    <t xml:space="preserve">A name you give a computed column so the output is readable.</t>
  </si>
  <si>
    <t xml:space="preserve">Typing a header over a formula</t>
  </si>
  <si>
    <t xml:space="preserve">Annotation</t>
  </si>
  <si>
    <t xml:space="preserve">A note on the chart itself, pointing at the thing you want seen.</t>
  </si>
  <si>
    <t xml:space="preserve">no direct equivalent</t>
  </si>
  <si>
    <t xml:space="preserve">Argument</t>
  </si>
  <si>
    <t xml:space="preserve">An input you hand to a function.</t>
  </si>
  <si>
    <t xml:space="preserve">What goes inside the brackets of a formula</t>
  </si>
  <si>
    <t xml:space="preserve">Axis</t>
  </si>
  <si>
    <t xml:space="preserve">The scale down the side or along the bottom. Every axis needs a label and a unit.</t>
  </si>
  <si>
    <t xml:space="preserve">Boolean filter</t>
  </si>
  <si>
    <t xml:space="preserve">Selecting rows by a true/false test applied to every row.</t>
  </si>
  <si>
    <t xml:space="preserve">Autofilter, written down</t>
  </si>
  <si>
    <t xml:space="preserve">Calculated column</t>
  </si>
  <si>
    <t xml:space="preserve">A calculation worked out once per row when the data loads, and then fixed.</t>
  </si>
  <si>
    <t xml:space="preserve">A formula column</t>
  </si>
  <si>
    <t xml:space="preserve">Categorical and continuous</t>
  </si>
  <si>
    <t xml:space="preserve">Categories are named groups; continuous values are measured numbers. They need different charts.</t>
  </si>
  <si>
    <t xml:space="preserve">Cell, or value</t>
  </si>
  <si>
    <t xml:space="preserve">One column of one row. The smallest piece.</t>
  </si>
  <si>
    <t xml:space="preserve">A cell</t>
  </si>
  <si>
    <t xml:space="preserve">Cleaning log</t>
  </si>
  <si>
    <t xml:space="preserve">A table recording rows in, rows out, what changed and why, written as you work.</t>
  </si>
  <si>
    <t xml:space="preserve">Column, or field</t>
  </si>
  <si>
    <t xml:space="preserve">One fact recorded about every row, with one name and one type.</t>
  </si>
  <si>
    <t xml:space="preserve">A column</t>
  </si>
  <si>
    <t xml:space="preserve">COUNT</t>
  </si>
  <si>
    <t xml:space="preserve">How many rows. COUNT(*) counts rows; COUNT(column) counts rows where that column is not NULL.</t>
  </si>
  <si>
    <t xml:space="preserve">COUNTA against COUNT</t>
  </si>
  <si>
    <t xml:space="preserve">CTE</t>
  </si>
  <si>
    <t xml:space="preserve">A named step at the top of a query that you can then use like a table. Short for common table expression.</t>
  </si>
  <si>
    <t xml:space="preserve">A helper sheet you build before the final calculation</t>
  </si>
  <si>
    <t xml:space="preserve">Data</t>
  </si>
  <si>
    <t xml:space="preserve">Recorded facts. Numbers, text and dates that something or somebody wrote down.</t>
  </si>
  <si>
    <t xml:space="preserve">Data model</t>
  </si>
  <si>
    <t xml:space="preserve">The tables plus the relationships between them. This is what decides whether a total is right.</t>
  </si>
  <si>
    <t xml:space="preserve">Data series</t>
  </si>
  <si>
    <t xml:space="preserve">One set of values drawn together: one line, one set of bars.</t>
  </si>
  <si>
    <t xml:space="preserve">Data type</t>
  </si>
  <si>
    <t xml:space="preserve">What kind of value a column holds: whole number, decimal, text, date, or true/false. A column has ONE type, all the way down.</t>
  </si>
  <si>
    <t xml:space="preserve">Cell format, but enforced rather than cosmetic</t>
  </si>
  <si>
    <t xml:space="preserve">Database</t>
  </si>
  <si>
    <t xml:space="preserve">Several related tables kept together, with the types and the keys enforced by the software.</t>
  </si>
  <si>
    <t xml:space="preserve">A workbook where the rules are not optional</t>
  </si>
  <si>
    <t xml:space="preserve">DataFrame</t>
  </si>
  <si>
    <t xml:space="preserve">A table in Python: named columns, each with one type.</t>
  </si>
  <si>
    <t xml:space="preserve">A sheet, with the rules enforced</t>
  </si>
  <si>
    <t xml:space="preserve">One collection of data that belongs together. Usually one or more files, or one database.</t>
  </si>
  <si>
    <t xml:space="preserve">A workbook</t>
  </si>
  <si>
    <t xml:space="preserve">Date table</t>
  </si>
  <si>
    <t xml:space="preserve">A table with one row per date for consistent time filtering. Sort month names by month number.</t>
  </si>
  <si>
    <t xml:space="preserve">DAX</t>
  </si>
  <si>
    <t xml:space="preserve">The formula language Power BI measures are written in.</t>
  </si>
  <si>
    <t xml:space="preserve">Derived value</t>
  </si>
  <si>
    <t xml:space="preserve">A number the data does not store, computed from columns that it does. Revenue here is quantity times price times one minus discount.</t>
  </si>
  <si>
    <t xml:space="preserve">Distribution</t>
  </si>
  <si>
    <t xml:space="preserve">The shape you get when you count how many values fall in each band.</t>
  </si>
  <si>
    <t xml:space="preserve">A histogram, or a frequency table</t>
  </si>
  <si>
    <t xml:space="preserve">dtype</t>
  </si>
  <si>
    <t xml:space="preserve">The type pandas decided a column has. object on a column of numbers means something in there is not a number.</t>
  </si>
  <si>
    <t xml:space="preserve">Duplicate</t>
  </si>
  <si>
    <t xml:space="preserve">The same row recorded twice. Whether that is an error depends entirely on the grain.</t>
  </si>
  <si>
    <t xml:space="preserve">Duplication</t>
  </si>
  <si>
    <t xml:space="preserve">The same fact stored in more than one place. It is why one big sheet goes wrong: change a customer's region and you have to change it in every row.</t>
  </si>
  <si>
    <t xml:space="preserve">Fact and dimension</t>
  </si>
  <si>
    <t xml:space="preserve">The fact table holds the events; dimensions hold the descriptions you slice by.</t>
  </si>
  <si>
    <t xml:space="preserve">Fan-out</t>
  </si>
  <si>
    <t xml:space="preserve">When one row matches several, its values are repeated once per match. Sum them afterwards and you have counted the same thing several times.</t>
  </si>
  <si>
    <t xml:space="preserve">Filter context</t>
  </si>
  <si>
    <t xml:space="preserve">The filters in force where a measure is evaluated: the row, the slicer, the chart axis.</t>
  </si>
  <si>
    <t xml:space="preserve">Finding</t>
  </si>
  <si>
    <t xml:space="preserve">A sentence with a number in it that somebody could act on or dispute.</t>
  </si>
  <si>
    <t xml:space="preserve">Foreign key</t>
  </si>
  <si>
    <t xml:space="preserve">A column that holds another table's primary key, which is what links the two.</t>
  </si>
  <si>
    <t xml:space="preserve">The lookup value you type into VLOOKUP</t>
  </si>
  <si>
    <t xml:space="preserve">Function</t>
  </si>
  <si>
    <t xml:space="preserve">A named instruction that takes inputs and gives back a result.</t>
  </si>
  <si>
    <t xml:space="preserve">SUM, VLOOKUP, IF</t>
  </si>
  <si>
    <t xml:space="preserve">Grain</t>
  </si>
  <si>
    <t xml:space="preserve">What one row represents. The single most important fact about any table, and the one nobody states.</t>
  </si>
  <si>
    <t xml:space="preserve">GROUP BY</t>
  </si>
  <si>
    <t xml:space="preserve">Says which rows belong together before the aggregate runs.</t>
  </si>
  <si>
    <t xml:space="preserve">The Rows area of a pivot table</t>
  </si>
  <si>
    <t xml:space="preserve">groupby</t>
  </si>
  <si>
    <t xml:space="preserve">pandas' GROUP BY. Split the rows into groups, apply an aggregation, combine the results.</t>
  </si>
  <si>
    <t xml:space="preserve">A pivot table</t>
  </si>
  <si>
    <t xml:space="preserve">HAVING</t>
  </si>
  <si>
    <t xml:space="preserve">A filter on the GROUPS, applied after the aggregation.</t>
  </si>
  <si>
    <t xml:space="preserve">Filtering a pivot table by its totals</t>
  </si>
  <si>
    <t xml:space="preserve">Histogram</t>
  </si>
  <si>
    <t xml:space="preserve">A chart of a distribution: values in bands along the bottom, counts up the side. Not a bar chart.</t>
  </si>
  <si>
    <t xml:space="preserve">Index</t>
  </si>
  <si>
    <t xml:space="preserve">The labels down the side of a DataFrame. After a groupby your grouping keys are the index, not columns, which is the commonest pandas confusion.</t>
  </si>
  <si>
    <t xml:space="preserve">INNER JOIN</t>
  </si>
  <si>
    <t xml:space="preserve">Keep only rows that matched on both sides.</t>
  </si>
  <si>
    <t xml:space="preserve">VLOOKUP where you delete the N/A error rows</t>
  </si>
  <si>
    <t xml:space="preserve">Join</t>
  </si>
  <si>
    <t xml:space="preserve">Putting two tables side by side by matching a key, so you can use columns from both.</t>
  </si>
  <si>
    <t xml:space="preserve">VLOOKUP, except it returns EVERY match rather than the first</t>
  </si>
  <si>
    <t xml:space="preserve">Leakage</t>
  </si>
  <si>
    <t xml:space="preserve">When a column you would not have at decision time is used to answer the question, making the answer look far better than it is.</t>
  </si>
  <si>
    <t xml:space="preserve">LEFT JOIN</t>
  </si>
  <si>
    <t xml:space="preserve">Keep every row on the left, and leave the right side blank where nothing matched.</t>
  </si>
  <si>
    <t xml:space="preserve">VLOOKUP where you keep the N/A error rows</t>
  </si>
  <si>
    <t xml:space="preserve">Library</t>
  </si>
  <si>
    <t xml:space="preserve">Somebody else's functions, loaded when you need them.</t>
  </si>
  <si>
    <t xml:space="preserve">An add-in</t>
  </si>
  <si>
    <t xml:space="preserve">LIMIT</t>
  </si>
  <si>
    <t xml:space="preserve">Return only the first so many rows, which is how you look at something without printing 6,000 lines.</t>
  </si>
  <si>
    <t xml:space="preserve">Limitation</t>
  </si>
  <si>
    <t xml:space="preserve">Where a finding stops being reliable, written beside it rather than in a footnote.</t>
  </si>
  <si>
    <t xml:space="preserve">Mean</t>
  </si>
  <si>
    <t xml:space="preserve">The total divided by the count.</t>
  </si>
  <si>
    <t xml:space="preserve">AVERAGE</t>
  </si>
  <si>
    <t xml:space="preserve">Measure</t>
  </si>
  <si>
    <t xml:space="preserve">A calculation worked out when a visual asks for it, inside that visual's filters.</t>
  </si>
  <si>
    <t xml:space="preserve">A pivot table value field</t>
  </si>
  <si>
    <t xml:space="preserve">Median</t>
  </si>
  <si>
    <t xml:space="preserve">The middle value when you line them all up. Half are smaller.</t>
  </si>
  <si>
    <t xml:space="preserve">MEDIAN</t>
  </si>
  <si>
    <t xml:space="preserve">merge</t>
  </si>
  <si>
    <t xml:space="preserve">pandas' JOIN. The how argument is the join type.</t>
  </si>
  <si>
    <t xml:space="preserve">VLOOKUP</t>
  </si>
  <si>
    <t xml:space="preserve">Missing value</t>
  </si>
  <si>
    <t xml:space="preserve">A cell with nothing recorded, shown as NaN.</t>
  </si>
  <si>
    <t xml:space="preserve">A blank cell</t>
  </si>
  <si>
    <t xml:space="preserve">Mode</t>
  </si>
  <si>
    <t xml:space="preserve">The commonest value. Useful on categories, where a mean is meaningless.</t>
  </si>
  <si>
    <t xml:space="preserve">MODE</t>
  </si>
  <si>
    <t xml:space="preserve">Moving average</t>
  </si>
  <si>
    <t xml:space="preserve">The average of the last few periods, used to see the trend through the noise.</t>
  </si>
  <si>
    <t xml:space="preserve">NULL</t>
  </si>
  <si>
    <t xml:space="preserve">No value recorded. It is not zero and not an empty string, and any comparison with it is neither true nor false.</t>
  </si>
  <si>
    <t xml:space="preserve">A genuinely blank cell</t>
  </si>
  <si>
    <t xml:space="preserve">Observation</t>
  </si>
  <si>
    <t xml:space="preserve">Something true about the data rather than about the business. It belongs in the notebook.</t>
  </si>
  <si>
    <t xml:space="preserve">One-to-many</t>
  </si>
  <si>
    <t xml:space="preserve">One row on one side matches several rows on the other. One order, several order lines.</t>
  </si>
  <si>
    <t xml:space="preserve">ORDER BY</t>
  </si>
  <si>
    <t xml:space="preserve">Sort the result.</t>
  </si>
  <si>
    <t xml:space="preserve">Sort</t>
  </si>
  <si>
    <t xml:space="preserve">Outlier</t>
  </si>
  <si>
    <t xml:space="preserve">A value far from the rest. It may be an error and it may be your biggest customer.</t>
  </si>
  <si>
    <t xml:space="preserve">pandas</t>
  </si>
  <si>
    <t xml:space="preserve">The library that gives Python tables. Almost everything in weeks three and four is pandas.</t>
  </si>
  <si>
    <t xml:space="preserve">Percentage point</t>
  </si>
  <si>
    <t xml:space="preserve">The unit for the DIFFERENCE between two percentages. From 2% to 3% is one percentage point and a 50% increase, and both are true.</t>
  </si>
  <si>
    <t xml:space="preserve">Percentile</t>
  </si>
  <si>
    <t xml:space="preserve">The value below which a given share of the data falls. The 90th percentile is bigger than nine values in ten.</t>
  </si>
  <si>
    <t xml:space="preserve">PERCENTILE</t>
  </si>
  <si>
    <t xml:space="preserve">Power Query</t>
  </si>
  <si>
    <t xml:space="preserve">The part of Power BI that gets the data and shapes it. Its Applied Steps list is a recipe that runs again next month.</t>
  </si>
  <si>
    <t xml:space="preserve">Primary key</t>
  </si>
  <si>
    <t xml:space="preserve">A column whose value is never repeated, so it identifies one row exactly.</t>
  </si>
  <si>
    <t xml:space="preserve">The column you would VLOOKUP on</t>
  </si>
  <si>
    <t xml:space="preserve">Profile</t>
  </si>
  <si>
    <t xml:space="preserve">The fixed six-command routine you run on any new file before you trust it.</t>
  </si>
  <si>
    <t xml:space="preserve">Program</t>
  </si>
  <si>
    <t xml:space="preserve">A list of instructions, run in order, top to bottom.</t>
  </si>
  <si>
    <t xml:space="preserve">A macro, or a formula that got long</t>
  </si>
  <si>
    <t xml:space="preserve">Proportion and percentage</t>
  </si>
  <si>
    <t xml:space="preserve">A part of a whole. A percentage is a proportion times a hundred.</t>
  </si>
  <si>
    <t xml:space="preserve">Query</t>
  </si>
  <si>
    <t xml:space="preserve">A written description of the rows you want. You describe the result; the database works out how to fetch it.</t>
  </si>
  <si>
    <t xml:space="preserve">A filter, but written down and repeatable</t>
  </si>
  <si>
    <t xml:space="preserve">Range</t>
  </si>
  <si>
    <t xml:space="preserve">Largest minus smallest.</t>
  </si>
  <si>
    <t xml:space="preserve">MAX minus MIN</t>
  </si>
  <si>
    <t xml:space="preserve">Rate</t>
  </si>
  <si>
    <t xml:space="preserve">A count divided by the population it came from. What you need whenever the groups are different sizes.</t>
  </si>
  <si>
    <t xml:space="preserve">Recommendation</t>
  </si>
  <si>
    <t xml:space="preserve">What somebody should do, with the number that justifies it and the conditions under which it stops being true.</t>
  </si>
  <si>
    <t xml:space="preserve">Reconciliation</t>
  </si>
  <si>
    <t xml:space="preserve">Getting the same number two different ways and chasing every difference until you can name it.</t>
  </si>
  <si>
    <t xml:space="preserve">Relationship</t>
  </si>
  <si>
    <t xml:space="preserve">A join defined once in the model rather than written in every query.</t>
  </si>
  <si>
    <t xml:space="preserve">Residual</t>
  </si>
  <si>
    <t xml:space="preserve">The difference that is left after you have explained everything you can. Naming it is part of the job.</t>
  </si>
  <si>
    <t xml:space="preserve">Row, or record</t>
  </si>
  <si>
    <t xml:space="preserve">One of the things the table is about: one order, one customer, one machine reading.</t>
  </si>
  <si>
    <t xml:space="preserve">A row</t>
  </si>
  <si>
    <t xml:space="preserve">Seasonality</t>
  </si>
  <si>
    <t xml:space="preserve">A pattern that repeats on the calendar. December here is not growth.</t>
  </si>
  <si>
    <t xml:space="preserve">SELECT</t>
  </si>
  <si>
    <t xml:space="preserve">The clause that says which columns you want back.</t>
  </si>
  <si>
    <t xml:space="preserve">Series</t>
  </si>
  <si>
    <t xml:space="preserve">One column of a DataFrame, on its own.</t>
  </si>
  <si>
    <t xml:space="preserve">Skew</t>
  </si>
  <si>
    <t xml:space="preserve">A distribution with a long tail on one side. Business quantities nearly always have one.</t>
  </si>
  <si>
    <t xml:space="preserve">Slicer</t>
  </si>
  <si>
    <t xml:space="preserve">An on-page filter the reader can change.</t>
  </si>
  <si>
    <t xml:space="preserve">A pivot table filter</t>
  </si>
  <si>
    <t xml:space="preserve">Star schema</t>
  </si>
  <si>
    <t xml:space="preserve">One fact table in the middle, dimension tables around it.</t>
  </si>
  <si>
    <t xml:space="preserve">Statistic</t>
  </si>
  <si>
    <t xml:space="preserve">One number that summarises many. Every statistic throws information away, which is the point and the danger.</t>
  </si>
  <si>
    <t xml:space="preserve">Table</t>
  </si>
  <si>
    <t xml:space="preserve">Rows and columns where every row is the same kind of thing and every column holds the same kind of value.</t>
  </si>
  <si>
    <t xml:space="preserve">A sheet with a header row</t>
  </si>
  <si>
    <t xml:space="preserve">Time series</t>
  </si>
  <si>
    <t xml:space="preserve">Values recorded in time order.</t>
  </si>
  <si>
    <t xml:space="preserve">Traceback</t>
  </si>
  <si>
    <t xml:space="preserve">The error message. It is long, and the LAST line is the one that names the problem.</t>
  </si>
  <si>
    <t xml:space="preserve">the VALUE error, with an explanation attached</t>
  </si>
  <si>
    <t xml:space="preserve">Trend</t>
  </si>
  <si>
    <t xml:space="preserve">The direction over the long run, once the wobble is taken out.</t>
  </si>
  <si>
    <t xml:space="preserve">Truncated axis</t>
  </si>
  <si>
    <t xml:space="preserve">A value axis that does not start at zero, which makes a small change look enormous.</t>
  </si>
  <si>
    <t xml:space="preserve">Type</t>
  </si>
  <si>
    <t xml:space="preserve">What kind of value: whole number, decimal, text, true/false, date.</t>
  </si>
  <si>
    <t xml:space="preserve">validate</t>
  </si>
  <si>
    <t xml:space="preserve">An argument that makes pandas REFUSE a merge that would multiply rows, instead of silently doing it.</t>
  </si>
  <si>
    <t xml:space="preserve">Variable</t>
  </si>
  <si>
    <t xml:space="preserve">A name that holds a value, so you can use it again without retyping it.</t>
  </si>
  <si>
    <t xml:space="preserve">A named cell or a named range</t>
  </si>
  <si>
    <t xml:space="preserve">WHERE</t>
  </si>
  <si>
    <t xml:space="preserve">The clause that says which rows you want, by condition.</t>
  </si>
  <si>
    <t xml:space="preserve">Autofilter</t>
  </si>
  <si>
    <t xml:space="preserve">Year on year</t>
  </si>
  <si>
    <t xml:space="preserve">Comparing a period against the same period a year earlier, which is the honest way to see through seasonality.</t>
  </si>
  <si>
    <t xml:space="preserve">Zero-based</t>
  </si>
  <si>
    <t xml:space="preserve">Counting from 0. The first row is row 0. It is a real difference from Excel and it catches everybody once.</t>
  </si>
  <si>
    <t xml:space="preserve">The 49 terms with no spreadsheet equivalent are the genuinely new ideas in this course.</t>
  </si>
  <si>
    <t xml:space="preserve">Cut to pay for the foundations</t>
  </si>
  <si>
    <t xml:space="preserve">Recorded so it does not creep back in, and so a fast cohort knows what to add</t>
  </si>
  <si>
    <t xml:space="preserve">What came out</t>
  </si>
  <si>
    <t xml:space="preserve">Why, and what replaced it</t>
  </si>
  <si>
    <t xml:space="preserve">SQL window functions</t>
  </si>
  <si>
    <t xml:space="preserve">RANK, running totals and PARTITION BY. They are the right tool for the rep report's ranking, and they are a session's worth of new ideas for somebody who met their first SELECT eight days earlier. The report now stops at revenue net of returns, and the ranking is done in the spreadsheet where the room is already fluent.</t>
  </si>
  <si>
    <t xml:space="preserve">DAX time intelligence</t>
  </si>
  <si>
    <t xml:space="preserve">TOTALYTD and its relatives. They need a correctly marked date table and an understanding of filter context, and getting either wrong returns a plausible wrong number silently. Session 15 teaches SUM, DIVIDE and CALCULATE properly instead.</t>
  </si>
  <si>
    <t xml:space="preserve">Reshaping: pivot_table and melt in pandas</t>
  </si>
  <si>
    <t xml:space="preserve">Wide against long is a genuinely useful idea and it is the third way of saying something the room has already met as a pivot table and as GROUP BY. Cut to make room, and named here because it is the first thing to add back if a cohort moves quickly.</t>
  </si>
  <si>
    <t xml:space="preserve">Row-level security in Power BI</t>
  </si>
  <si>
    <t xml:space="preserve">Mentioned in one line in session 15 as a thing that exists, because a beginner who publishes a dashboard needs to know the concept is out there. Not taught.</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</si>
</sst>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7"/>
      <color rgb="FF1F3864"/>
      <name val="Arial"/>
      <family val="0"/>
      <charset val="1"/>
    </font>
    <font>
      <i val="true"/>
      <sz val="10.5"/>
      <color rgb="FF2E5C8A"/>
      <name val="Arial"/>
      <family val="0"/>
      <charset val="1"/>
    </font>
    <font>
      <b val="true"/>
      <sz val="10"/>
      <color rgb="FFFFFFFF"/>
      <name val="Arial"/>
      <family val="0"/>
      <charset val="1"/>
    </font>
    <font>
      <sz val="9"/>
      <name val="Arial"/>
      <family val="0"/>
      <charset val="1"/>
    </font>
    <font>
      <b val="true"/>
      <sz val="9"/>
      <name val="Arial"/>
      <family val="0"/>
      <charset val="1"/>
    </font>
    <font>
      <sz val="9"/>
      <color rgb="FF0000FF"/>
      <name val="Arial"/>
      <family val="0"/>
      <charset val="1"/>
    </font>
    <font>
      <b val="true"/>
      <sz val="11"/>
      <color rgb="FFFFFFFF"/>
      <name val="Arial"/>
      <family val="0"/>
      <charset val="1"/>
    </font>
    <font>
      <i val="true"/>
      <sz val="9"/>
      <color rgb="FF9C45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D9E2F3"/>
      </patternFill>
    </fill>
    <fill>
      <patternFill patternType="solid">
        <fgColor rgb="FFFFF2CC"/>
        <bgColor rgb="FFE2EFDA"/>
      </patternFill>
    </fill>
    <fill>
      <patternFill patternType="solid">
        <fgColor rgb="FF2E5C8A"/>
        <bgColor rgb="FF1F386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top" textRotation="0" wrapText="true" indent="0" shrinkToFit="false"/>
      <protection locked="true" hidden="false"/>
    </xf>
    <xf numFmtId="165" fontId="8" fillId="4"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8" fillId="5"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top" textRotation="0" wrapText="true" indent="0" shrinkToFit="false"/>
      <protection locked="true" hidden="false"/>
    </xf>
    <xf numFmtId="164" fontId="9" fillId="5" borderId="0" xfId="0" applyFont="true" applyBorder="false" applyAlignment="true" applyProtection="true">
      <alignment horizontal="general" vertical="top" textRotation="0" wrapText="tru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true" applyAlignment="true" applyProtection="true">
      <alignment horizontal="general" vertical="bottom" textRotation="0" wrapText="false" indent="0" shrinkToFit="false"/>
      <protection locked="true" hidden="false"/>
    </xf>
    <xf numFmtId="164" fontId="7" fillId="5" borderId="0" xfId="0" applyFont="true" applyBorder="true" applyAlignment="true" applyProtection="true">
      <alignment horizontal="general" vertical="top" textRotation="0" wrapText="true" indent="0" shrinkToFit="false"/>
      <protection locked="true" hidden="false"/>
    </xf>
    <xf numFmtId="167" fontId="7"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C45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7"/>
    <col collapsed="false" customWidth="true" hidden="false" outlineLevel="0" max="3" min="3" style="1" width="13"/>
    <col collapsed="false" customWidth="true" hidden="false" outlineLevel="0" max="4" min="4" style="1" width="30"/>
    <col collapsed="false" customWidth="true" hidden="false" outlineLevel="0" max="5" min="5" style="1" width="10"/>
    <col collapsed="false" customWidth="true" hidden="false" outlineLevel="0" max="6" min="6" style="1" width="26"/>
    <col collapsed="false" customWidth="true" hidden="false" outlineLevel="0" max="9" min="7" style="1" width="44"/>
  </cols>
  <sheetData>
    <row r="1" customFormat="false" ht="24" hidden="false" customHeight="true" outlineLevel="0" collapsed="false">
      <c r="A1" s="2" t="s">
        <v>0</v>
      </c>
      <c r="B1" s="2"/>
      <c r="C1" s="2"/>
      <c r="D1" s="2"/>
      <c r="E1" s="2"/>
      <c r="F1" s="2"/>
      <c r="G1" s="2"/>
      <c r="H1" s="2"/>
      <c r="I1" s="2"/>
    </row>
    <row r="2" customFormat="false" ht="15.75" hidden="false" customHeight="true" outlineLevel="0" collapsed="false">
      <c r="A2" s="3" t="s">
        <v>1</v>
      </c>
      <c r="B2" s="3"/>
      <c r="C2" s="3"/>
      <c r="D2" s="3"/>
      <c r="E2" s="3"/>
      <c r="F2" s="3"/>
      <c r="G2" s="3"/>
      <c r="H2" s="3"/>
      <c r="I2" s="3"/>
    </row>
    <row r="4" customFormat="false" ht="30" hidden="false" customHeight="true" outlineLevel="0" collapsed="false">
      <c r="A4" s="4" t="s">
        <v>2</v>
      </c>
      <c r="B4" s="4" t="s">
        <v>3</v>
      </c>
      <c r="C4" s="4" t="s">
        <v>4</v>
      </c>
      <c r="D4" s="4" t="s">
        <v>5</v>
      </c>
      <c r="E4" s="4" t="s">
        <v>6</v>
      </c>
      <c r="F4" s="4" t="s">
        <v>7</v>
      </c>
      <c r="G4" s="4" t="s">
        <v>8</v>
      </c>
      <c r="H4" s="4" t="s">
        <v>9</v>
      </c>
      <c r="I4" s="4" t="s">
        <v>10</v>
      </c>
    </row>
    <row r="5" customFormat="false" ht="85.5" hidden="false" customHeight="true" outlineLevel="0" collapsed="false">
      <c r="A5" s="5" t="n">
        <v>1</v>
      </c>
      <c r="B5" s="5" t="n">
        <v>1</v>
      </c>
      <c r="C5" s="5" t="s">
        <v>11</v>
      </c>
      <c r="D5" s="5" t="s">
        <v>12</v>
      </c>
      <c r="E5" s="5" t="n">
        <v>8</v>
      </c>
      <c r="F5" s="5" t="s">
        <v>13</v>
      </c>
      <c r="G5" s="5" t="s">
        <v>14</v>
      </c>
      <c r="H5" s="5" t="s">
        <v>15</v>
      </c>
      <c r="I5" s="5" t="s">
        <v>16</v>
      </c>
    </row>
    <row r="6" customFormat="false" ht="85.5" hidden="false" customHeight="true" outlineLevel="0" collapsed="false">
      <c r="A6" s="5" t="n">
        <v>2</v>
      </c>
      <c r="B6" s="5" t="n">
        <v>1</v>
      </c>
      <c r="C6" s="5" t="s">
        <v>11</v>
      </c>
      <c r="D6" s="5" t="s">
        <v>17</v>
      </c>
      <c r="E6" s="5" t="n">
        <v>6</v>
      </c>
      <c r="F6" s="5" t="s">
        <v>18</v>
      </c>
      <c r="G6" s="5" t="s">
        <v>19</v>
      </c>
      <c r="H6" s="5" t="s">
        <v>20</v>
      </c>
      <c r="I6" s="5" t="s">
        <v>21</v>
      </c>
    </row>
    <row r="7" customFormat="false" ht="85.5" hidden="false" customHeight="true" outlineLevel="0" collapsed="false">
      <c r="A7" s="5" t="n">
        <v>3</v>
      </c>
      <c r="B7" s="5" t="n">
        <v>1</v>
      </c>
      <c r="C7" s="5" t="s">
        <v>22</v>
      </c>
      <c r="D7" s="5" t="s">
        <v>23</v>
      </c>
      <c r="E7" s="5" t="n">
        <v>7</v>
      </c>
      <c r="F7" s="5" t="s">
        <v>24</v>
      </c>
      <c r="G7" s="5" t="s">
        <v>25</v>
      </c>
      <c r="H7" s="5" t="s">
        <v>26</v>
      </c>
      <c r="I7" s="5" t="s">
        <v>27</v>
      </c>
    </row>
    <row r="8" customFormat="false" ht="85.5" hidden="false" customHeight="true" outlineLevel="0" collapsed="false">
      <c r="A8" s="6" t="n">
        <v>4</v>
      </c>
      <c r="B8" s="6" t="n">
        <v>2</v>
      </c>
      <c r="C8" s="6" t="s">
        <v>22</v>
      </c>
      <c r="D8" s="6" t="s">
        <v>28</v>
      </c>
      <c r="E8" s="6" t="n">
        <v>5</v>
      </c>
      <c r="F8" s="6" t="s">
        <v>29</v>
      </c>
      <c r="G8" s="6" t="s">
        <v>30</v>
      </c>
      <c r="H8" s="6" t="s">
        <v>31</v>
      </c>
      <c r="I8" s="6" t="s">
        <v>32</v>
      </c>
    </row>
    <row r="9" customFormat="false" ht="85.5" hidden="false" customHeight="true" outlineLevel="0" collapsed="false">
      <c r="A9" s="6" t="n">
        <v>5</v>
      </c>
      <c r="B9" s="6" t="n">
        <v>2</v>
      </c>
      <c r="C9" s="6" t="s">
        <v>22</v>
      </c>
      <c r="D9" s="6" t="s">
        <v>33</v>
      </c>
      <c r="E9" s="6" t="n">
        <v>4</v>
      </c>
      <c r="F9" s="6" t="s">
        <v>34</v>
      </c>
      <c r="G9" s="6" t="s">
        <v>35</v>
      </c>
      <c r="H9" s="6" t="s">
        <v>36</v>
      </c>
      <c r="I9" s="6" t="s">
        <v>37</v>
      </c>
    </row>
    <row r="10" customFormat="false" ht="85.5" hidden="false" customHeight="true" outlineLevel="0" collapsed="false">
      <c r="A10" s="6" t="n">
        <v>6</v>
      </c>
      <c r="B10" s="6" t="n">
        <v>2</v>
      </c>
      <c r="C10" s="6" t="s">
        <v>38</v>
      </c>
      <c r="D10" s="6" t="s">
        <v>39</v>
      </c>
      <c r="E10" s="6" t="n">
        <v>10</v>
      </c>
      <c r="F10" s="6" t="s">
        <v>40</v>
      </c>
      <c r="G10" s="6" t="s">
        <v>41</v>
      </c>
      <c r="H10" s="6" t="s">
        <v>42</v>
      </c>
      <c r="I10" s="6" t="s">
        <v>43</v>
      </c>
    </row>
    <row r="11" customFormat="false" ht="85.5" hidden="false" customHeight="true" outlineLevel="0" collapsed="false">
      <c r="A11" s="5" t="n">
        <v>7</v>
      </c>
      <c r="B11" s="5" t="n">
        <v>3</v>
      </c>
      <c r="C11" s="5" t="s">
        <v>38</v>
      </c>
      <c r="D11" s="5" t="s">
        <v>44</v>
      </c>
      <c r="E11" s="5" t="n">
        <v>5</v>
      </c>
      <c r="F11" s="5" t="s">
        <v>45</v>
      </c>
      <c r="G11" s="5" t="s">
        <v>46</v>
      </c>
      <c r="H11" s="5" t="s">
        <v>47</v>
      </c>
      <c r="I11" s="5" t="s">
        <v>48</v>
      </c>
    </row>
    <row r="12" customFormat="false" ht="85.5" hidden="false" customHeight="true" outlineLevel="0" collapsed="false">
      <c r="A12" s="5" t="n">
        <v>8</v>
      </c>
      <c r="B12" s="5" t="n">
        <v>3</v>
      </c>
      <c r="C12" s="5" t="s">
        <v>38</v>
      </c>
      <c r="D12" s="5" t="s">
        <v>49</v>
      </c>
      <c r="E12" s="5" t="n">
        <v>4</v>
      </c>
      <c r="F12" s="5" t="s">
        <v>50</v>
      </c>
      <c r="G12" s="5" t="s">
        <v>51</v>
      </c>
      <c r="H12" s="5" t="s">
        <v>52</v>
      </c>
      <c r="I12" s="5" t="s">
        <v>53</v>
      </c>
    </row>
    <row r="13" customFormat="false" ht="85.5" hidden="false" customHeight="true" outlineLevel="0" collapsed="false">
      <c r="A13" s="5" t="n">
        <v>9</v>
      </c>
      <c r="B13" s="5" t="n">
        <v>3</v>
      </c>
      <c r="C13" s="5" t="s">
        <v>38</v>
      </c>
      <c r="D13" s="5" t="s">
        <v>54</v>
      </c>
      <c r="E13" s="5" t="n">
        <v>4</v>
      </c>
      <c r="F13" s="5" t="s">
        <v>55</v>
      </c>
      <c r="G13" s="5" t="s">
        <v>56</v>
      </c>
      <c r="H13" s="5" t="s">
        <v>57</v>
      </c>
      <c r="I13" s="5" t="s">
        <v>58</v>
      </c>
    </row>
    <row r="14" customFormat="false" ht="85.5" hidden="false" customHeight="true" outlineLevel="0" collapsed="false">
      <c r="A14" s="6" t="n">
        <v>10</v>
      </c>
      <c r="B14" s="6" t="n">
        <v>4</v>
      </c>
      <c r="C14" s="6" t="s">
        <v>59</v>
      </c>
      <c r="D14" s="6" t="s">
        <v>60</v>
      </c>
      <c r="E14" s="6" t="n">
        <v>9</v>
      </c>
      <c r="F14" s="6" t="s">
        <v>61</v>
      </c>
      <c r="G14" s="6" t="s">
        <v>62</v>
      </c>
      <c r="H14" s="6" t="s">
        <v>63</v>
      </c>
      <c r="I14" s="6" t="s">
        <v>64</v>
      </c>
    </row>
    <row r="15" customFormat="false" ht="85.5" hidden="false" customHeight="true" outlineLevel="0" collapsed="false">
      <c r="A15" s="6" t="n">
        <v>11</v>
      </c>
      <c r="B15" s="6" t="n">
        <v>4</v>
      </c>
      <c r="C15" s="6" t="s">
        <v>59</v>
      </c>
      <c r="D15" s="6" t="s">
        <v>65</v>
      </c>
      <c r="E15" s="6" t="n">
        <v>8</v>
      </c>
      <c r="F15" s="6" t="s">
        <v>66</v>
      </c>
      <c r="G15" s="6" t="s">
        <v>67</v>
      </c>
      <c r="H15" s="6" t="s">
        <v>68</v>
      </c>
      <c r="I15" s="6" t="s">
        <v>69</v>
      </c>
    </row>
    <row r="16" customFormat="false" ht="85.5" hidden="false" customHeight="true" outlineLevel="0" collapsed="false">
      <c r="A16" s="6" t="n">
        <v>12</v>
      </c>
      <c r="B16" s="6" t="n">
        <v>4</v>
      </c>
      <c r="C16" s="6" t="s">
        <v>70</v>
      </c>
      <c r="D16" s="6" t="s">
        <v>71</v>
      </c>
      <c r="E16" s="6" t="n">
        <v>6</v>
      </c>
      <c r="F16" s="6" t="s">
        <v>72</v>
      </c>
      <c r="G16" s="6" t="s">
        <v>73</v>
      </c>
      <c r="H16" s="6" t="s">
        <v>74</v>
      </c>
      <c r="I16" s="6" t="s">
        <v>75</v>
      </c>
    </row>
    <row r="17" customFormat="false" ht="85.5" hidden="false" customHeight="true" outlineLevel="0" collapsed="false">
      <c r="A17" s="5" t="n">
        <v>13</v>
      </c>
      <c r="B17" s="5" t="n">
        <v>5</v>
      </c>
      <c r="C17" s="5" t="s">
        <v>76</v>
      </c>
      <c r="D17" s="5" t="s">
        <v>77</v>
      </c>
      <c r="E17" s="5" t="n">
        <v>4</v>
      </c>
      <c r="F17" s="5" t="s">
        <v>78</v>
      </c>
      <c r="G17" s="5" t="s">
        <v>79</v>
      </c>
      <c r="H17" s="5" t="s">
        <v>80</v>
      </c>
      <c r="I17" s="5" t="s">
        <v>81</v>
      </c>
    </row>
    <row r="18" customFormat="false" ht="85.5" hidden="false" customHeight="true" outlineLevel="0" collapsed="false">
      <c r="A18" s="5" t="n">
        <v>14</v>
      </c>
      <c r="B18" s="5" t="n">
        <v>5</v>
      </c>
      <c r="C18" s="5" t="s">
        <v>82</v>
      </c>
      <c r="D18" s="5" t="s">
        <v>83</v>
      </c>
      <c r="E18" s="5" t="n">
        <v>6</v>
      </c>
      <c r="F18" s="5" t="s">
        <v>84</v>
      </c>
      <c r="G18" s="5" t="s">
        <v>85</v>
      </c>
      <c r="H18" s="5" t="s">
        <v>86</v>
      </c>
      <c r="I18" s="5" t="s">
        <v>87</v>
      </c>
    </row>
    <row r="19" customFormat="false" ht="85.5" hidden="false" customHeight="true" outlineLevel="0" collapsed="false">
      <c r="A19" s="5" t="n">
        <v>15</v>
      </c>
      <c r="B19" s="5" t="n">
        <v>5</v>
      </c>
      <c r="C19" s="5" t="s">
        <v>82</v>
      </c>
      <c r="D19" s="5" t="s">
        <v>88</v>
      </c>
      <c r="E19" s="5" t="n">
        <v>6</v>
      </c>
      <c r="F19" s="5" t="s">
        <v>89</v>
      </c>
      <c r="G19" s="5" t="s">
        <v>90</v>
      </c>
      <c r="H19" s="5" t="s">
        <v>91</v>
      </c>
      <c r="I19" s="5" t="s">
        <v>92</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10"/>
    <col collapsed="false" customWidth="true" hidden="false" outlineLevel="0" max="3" min="3" style="1" width="30"/>
    <col collapsed="false" customWidth="true" hidden="false" outlineLevel="0" max="4" min="4" style="1" width="70"/>
  </cols>
  <sheetData>
    <row r="1" customFormat="false" ht="24" hidden="false" customHeight="true" outlineLevel="0" collapsed="false">
      <c r="A1" s="2" t="s">
        <v>93</v>
      </c>
      <c r="B1" s="2"/>
      <c r="C1" s="2"/>
      <c r="D1" s="2"/>
    </row>
    <row r="2" customFormat="false" ht="15.75" hidden="false" customHeight="true" outlineLevel="0" collapsed="false">
      <c r="A2" s="3" t="s">
        <v>94</v>
      </c>
      <c r="B2" s="3"/>
      <c r="C2" s="3"/>
      <c r="D2" s="3"/>
    </row>
    <row r="4" customFormat="false" ht="30" hidden="false" customHeight="true" outlineLevel="0" collapsed="false">
      <c r="A4" s="4" t="s">
        <v>95</v>
      </c>
      <c r="B4" s="4" t="s">
        <v>96</v>
      </c>
      <c r="C4" s="4" t="s">
        <v>97</v>
      </c>
      <c r="D4" s="4" t="s">
        <v>98</v>
      </c>
    </row>
    <row r="5" customFormat="false" ht="31.5" hidden="false" customHeight="true" outlineLevel="0" collapsed="false">
      <c r="A5" s="6" t="n">
        <v>10</v>
      </c>
      <c r="B5" s="6" t="n">
        <f aca="false">A5</f>
        <v>10</v>
      </c>
      <c r="C5" s="6" t="s">
        <v>99</v>
      </c>
      <c r="D5" s="6" t="s">
        <v>100</v>
      </c>
    </row>
    <row r="6" customFormat="false" ht="31.5" hidden="false" customHeight="true" outlineLevel="0" collapsed="false">
      <c r="A6" s="6" t="n">
        <v>50</v>
      </c>
      <c r="B6" s="6" t="n">
        <f aca="false">B5+A6</f>
        <v>60</v>
      </c>
      <c r="C6" s="6" t="s">
        <v>8</v>
      </c>
      <c r="D6" s="6" t="s">
        <v>101</v>
      </c>
    </row>
    <row r="7" customFormat="false" ht="31.5" hidden="false" customHeight="true" outlineLevel="0" collapsed="false">
      <c r="A7" s="6" t="n">
        <v>10</v>
      </c>
      <c r="B7" s="6" t="n">
        <f aca="false">B6+A7</f>
        <v>70</v>
      </c>
      <c r="C7" s="6" t="s">
        <v>102</v>
      </c>
      <c r="D7" s="6" t="s">
        <v>103</v>
      </c>
    </row>
    <row r="8" customFormat="false" ht="31.5" hidden="false" customHeight="true" outlineLevel="0" collapsed="false">
      <c r="A8" s="6" t="n">
        <v>45</v>
      </c>
      <c r="B8" s="6" t="n">
        <f aca="false">B7+A8</f>
        <v>115</v>
      </c>
      <c r="C8" s="6" t="s">
        <v>9</v>
      </c>
      <c r="D8" s="6" t="s">
        <v>104</v>
      </c>
    </row>
    <row r="9" customFormat="false" ht="31.5" hidden="false" customHeight="true" outlineLevel="0" collapsed="false">
      <c r="A9" s="6" t="n">
        <v>5</v>
      </c>
      <c r="B9" s="6" t="n">
        <f aca="false">B8+A9</f>
        <v>120</v>
      </c>
      <c r="C9" s="6" t="s">
        <v>102</v>
      </c>
      <c r="D9" s="6" t="s">
        <v>105</v>
      </c>
    </row>
    <row r="10" customFormat="false" ht="31.5" hidden="false" customHeight="true" outlineLevel="0" collapsed="false">
      <c r="A10" s="6" t="n">
        <v>50</v>
      </c>
      <c r="B10" s="6" t="n">
        <f aca="false">B9+A10</f>
        <v>170</v>
      </c>
      <c r="C10" s="6" t="s">
        <v>106</v>
      </c>
      <c r="D10" s="6" t="s">
        <v>107</v>
      </c>
    </row>
    <row r="11" customFormat="false" ht="31.5" hidden="false" customHeight="true" outlineLevel="0" collapsed="false">
      <c r="A11" s="6" t="n">
        <v>10</v>
      </c>
      <c r="B11" s="6" t="n">
        <f aca="false">B10+A11</f>
        <v>180</v>
      </c>
      <c r="C11" s="6" t="s">
        <v>108</v>
      </c>
      <c r="D11" s="6" t="s">
        <v>109</v>
      </c>
    </row>
    <row r="12" customFormat="false" ht="15" hidden="false" customHeight="false" outlineLevel="0" collapsed="false">
      <c r="A12" s="7" t="n">
        <f aca="false">SUM(A5:A11)</f>
        <v>180</v>
      </c>
      <c r="B12" s="8"/>
      <c r="C12" s="7" t="s">
        <v>110</v>
      </c>
      <c r="D12" s="8"/>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0"/>
    <col collapsed="false" customWidth="true" hidden="false" outlineLevel="0" max="3" min="3" style="1" width="14"/>
    <col collapsed="false" customWidth="true" hidden="false" outlineLevel="0" max="4" min="4" style="1" width="70"/>
  </cols>
  <sheetData>
    <row r="1" customFormat="false" ht="24" hidden="false" customHeight="true" outlineLevel="0" collapsed="false">
      <c r="A1" s="2" t="s">
        <v>111</v>
      </c>
      <c r="B1" s="2"/>
      <c r="C1" s="2"/>
      <c r="D1" s="2"/>
    </row>
    <row r="2" customFormat="false" ht="15.75" hidden="false" customHeight="true" outlineLevel="0" collapsed="false">
      <c r="A2" s="3" t="s">
        <v>112</v>
      </c>
      <c r="B2" s="3"/>
      <c r="C2" s="3"/>
      <c r="D2" s="3"/>
    </row>
    <row r="4" customFormat="false" ht="30" hidden="false" customHeight="true" outlineLevel="0" collapsed="false">
      <c r="A4" s="4" t="s">
        <v>97</v>
      </c>
      <c r="B4" s="4" t="s">
        <v>113</v>
      </c>
      <c r="C4" s="4" t="s">
        <v>114</v>
      </c>
      <c r="D4" s="4" t="s">
        <v>115</v>
      </c>
    </row>
    <row r="5" customFormat="false" ht="43.5" hidden="false" customHeight="true" outlineLevel="0" collapsed="false">
      <c r="A5" s="6" t="s">
        <v>116</v>
      </c>
      <c r="B5" s="9" t="n">
        <v>0.15</v>
      </c>
      <c r="C5" s="6" t="s">
        <v>117</v>
      </c>
      <c r="D5" s="6" t="s">
        <v>118</v>
      </c>
    </row>
    <row r="6" customFormat="false" ht="43.5" hidden="false" customHeight="true" outlineLevel="0" collapsed="false">
      <c r="A6" s="6" t="s">
        <v>119</v>
      </c>
      <c r="B6" s="9" t="n">
        <v>0.15</v>
      </c>
      <c r="C6" s="6" t="s">
        <v>120</v>
      </c>
      <c r="D6" s="6" t="s">
        <v>121</v>
      </c>
    </row>
    <row r="7" customFormat="false" ht="43.5" hidden="false" customHeight="true" outlineLevel="0" collapsed="false">
      <c r="A7" s="6" t="s">
        <v>122</v>
      </c>
      <c r="B7" s="9" t="n">
        <v>0.3</v>
      </c>
      <c r="C7" s="6" t="s">
        <v>123</v>
      </c>
      <c r="D7" s="6" t="s">
        <v>124</v>
      </c>
    </row>
    <row r="8" customFormat="false" ht="43.5" hidden="false" customHeight="true" outlineLevel="0" collapsed="false">
      <c r="A8" s="6" t="s">
        <v>125</v>
      </c>
      <c r="B8" s="9" t="n">
        <v>0.4</v>
      </c>
      <c r="C8" s="6" t="s">
        <v>126</v>
      </c>
      <c r="D8" s="6" t="s">
        <v>127</v>
      </c>
    </row>
    <row r="9" customFormat="false" ht="15" hidden="false" customHeight="false" outlineLevel="0" collapsed="false">
      <c r="A9" s="7" t="s">
        <v>128</v>
      </c>
      <c r="B9" s="10" t="n">
        <f aca="false">SUM(B5:B8)</f>
        <v>1</v>
      </c>
      <c r="C9" s="8"/>
      <c r="D9" s="8"/>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26"/>
    <col collapsed="false" customWidth="true" hidden="false" outlineLevel="0" max="6" min="3" style="1" width="16"/>
    <col collapsed="false" customWidth="true" hidden="false" outlineLevel="0" max="7" min="7" style="1" width="15"/>
    <col collapsed="false" customWidth="true" hidden="false" outlineLevel="0" max="8" min="8" style="1" width="14"/>
  </cols>
  <sheetData>
    <row r="1" customFormat="false" ht="24" hidden="false" customHeight="true" outlineLevel="0" collapsed="false">
      <c r="A1" s="2" t="s">
        <v>129</v>
      </c>
      <c r="B1" s="2"/>
      <c r="C1" s="2"/>
      <c r="D1" s="2"/>
      <c r="E1" s="2"/>
      <c r="F1" s="2"/>
      <c r="G1" s="2"/>
      <c r="H1" s="2"/>
    </row>
    <row r="2" customFormat="false" ht="15.75" hidden="false" customHeight="true" outlineLevel="0" collapsed="false">
      <c r="A2" s="3" t="s">
        <v>130</v>
      </c>
      <c r="B2" s="3"/>
      <c r="C2" s="3"/>
      <c r="D2" s="3"/>
      <c r="E2" s="3"/>
      <c r="F2" s="3"/>
      <c r="G2" s="3"/>
      <c r="H2" s="3"/>
    </row>
    <row r="4" customFormat="false" ht="43.5" hidden="false" customHeight="true" outlineLevel="0" collapsed="false">
      <c r="A4" s="4" t="s">
        <v>131</v>
      </c>
      <c r="B4" s="4" t="s">
        <v>132</v>
      </c>
      <c r="C4" s="4" t="s">
        <v>116</v>
      </c>
      <c r="D4" s="4" t="s">
        <v>119</v>
      </c>
      <c r="E4" s="4" t="s">
        <v>122</v>
      </c>
      <c r="F4" s="4" t="s">
        <v>125</v>
      </c>
      <c r="G4" s="4" t="s">
        <v>133</v>
      </c>
      <c r="H4" s="4" t="s">
        <v>134</v>
      </c>
    </row>
    <row r="5" customFormat="false" ht="15" hidden="false" customHeight="false" outlineLevel="0" collapsed="false">
      <c r="A5" s="11" t="s">
        <v>113</v>
      </c>
      <c r="C5" s="12" t="n">
        <v>0.15</v>
      </c>
      <c r="D5" s="12" t="n">
        <v>0.15</v>
      </c>
      <c r="E5" s="12" t="n">
        <v>0.3</v>
      </c>
      <c r="F5" s="12" t="n">
        <v>0.4</v>
      </c>
      <c r="G5" s="13" t="n">
        <f aca="false">SUM(C5:F5)</f>
        <v>1</v>
      </c>
    </row>
    <row r="6" customFormat="false" ht="15" hidden="false" customHeight="false" outlineLevel="0" collapsed="false">
      <c r="A6" s="14" t="s">
        <v>135</v>
      </c>
      <c r="B6" s="14" t="s">
        <v>136</v>
      </c>
      <c r="C6" s="15" t="n">
        <v>80</v>
      </c>
      <c r="D6" s="15" t="n">
        <v>72</v>
      </c>
      <c r="E6" s="15" t="n">
        <v>68</v>
      </c>
      <c r="F6" s="15" t="n">
        <v>75</v>
      </c>
      <c r="G6" s="16" t="n">
        <f aca="false">IF(COUNT(C6:F6)=0,"",SUMPRODUCT(C6:F6,C$5:F$5)/SUMPRODUCT((C6:F6&lt;&gt;"")*(C$5:F$5)))</f>
        <v>73.2</v>
      </c>
      <c r="H6" s="17" t="str">
        <f aca="false">IF(G6="","",IF(G6&gt;=70,"Distinction",IF(G6&gt;=50,"Pass","Not yet")))</f>
        <v>Distinction</v>
      </c>
    </row>
    <row r="7" customFormat="false" ht="15" hidden="false" customHeight="false" outlineLevel="0" collapsed="false">
      <c r="A7" s="6"/>
      <c r="B7" s="6"/>
      <c r="C7" s="18"/>
      <c r="D7" s="18"/>
      <c r="E7" s="18"/>
      <c r="F7" s="18"/>
      <c r="G7" s="16" t="str">
        <f aca="false">IF(COUNT(C7:F7)=0,"",SUMPRODUCT(C7:F7,C$5:F$5)/SUMPRODUCT((C7:F7&lt;&gt;"")*(C$5:F$5)))</f>
        <v/>
      </c>
      <c r="H7" s="17" t="str">
        <f aca="false">IF(G7="","",IF(G7&gt;=70,"Distinction",IF(G7&gt;=50,"Pass","Not yet")))</f>
        <v/>
      </c>
    </row>
    <row r="8" customFormat="false" ht="15" hidden="false" customHeight="false" outlineLevel="0" collapsed="false">
      <c r="A8" s="6"/>
      <c r="B8" s="6"/>
      <c r="C8" s="18"/>
      <c r="D8" s="18"/>
      <c r="E8" s="18"/>
      <c r="F8" s="18"/>
      <c r="G8" s="16" t="str">
        <f aca="false">IF(COUNT(C8:F8)=0,"",SUMPRODUCT(C8:F8,C$5:F$5)/SUMPRODUCT((C8:F8&lt;&gt;"")*(C$5:F$5)))</f>
        <v/>
      </c>
      <c r="H8" s="17" t="str">
        <f aca="false">IF(G8="","",IF(G8&gt;=70,"Distinction",IF(G8&gt;=50,"Pass","Not yet")))</f>
        <v/>
      </c>
    </row>
    <row r="9" customFormat="false" ht="15" hidden="false" customHeight="false" outlineLevel="0" collapsed="false">
      <c r="A9" s="6"/>
      <c r="B9" s="6"/>
      <c r="C9" s="18"/>
      <c r="D9" s="18"/>
      <c r="E9" s="18"/>
      <c r="F9" s="18"/>
      <c r="G9" s="16" t="str">
        <f aca="false">IF(COUNT(C9:F9)=0,"",SUMPRODUCT(C9:F9,C$5:F$5)/SUMPRODUCT((C9:F9&lt;&gt;"")*(C$5:F$5)))</f>
        <v/>
      </c>
      <c r="H9" s="17" t="str">
        <f aca="false">IF(G9="","",IF(G9&gt;=70,"Distinction",IF(G9&gt;=50,"Pass","Not yet")))</f>
        <v/>
      </c>
    </row>
    <row r="10" customFormat="false" ht="15" hidden="false" customHeight="false" outlineLevel="0" collapsed="false">
      <c r="A10" s="6"/>
      <c r="B10" s="6"/>
      <c r="C10" s="18"/>
      <c r="D10" s="18"/>
      <c r="E10" s="18"/>
      <c r="F10" s="18"/>
      <c r="G10" s="16" t="str">
        <f aca="false">IF(COUNT(C10:F10)=0,"",SUMPRODUCT(C10:F10,C$5:F$5)/SUMPRODUCT((C10:F10&lt;&gt;"")*(C$5:F$5)))</f>
        <v/>
      </c>
      <c r="H10" s="17" t="str">
        <f aca="false">IF(G10="","",IF(G10&gt;=70,"Distinction",IF(G10&gt;=50,"Pass","Not yet")))</f>
        <v/>
      </c>
    </row>
    <row r="11" customFormat="false" ht="15" hidden="false" customHeight="false" outlineLevel="0" collapsed="false">
      <c r="A11" s="6"/>
      <c r="B11" s="6"/>
      <c r="C11" s="18"/>
      <c r="D11" s="18"/>
      <c r="E11" s="18"/>
      <c r="F11" s="18"/>
      <c r="G11" s="16" t="str">
        <f aca="false">IF(COUNT(C11:F11)=0,"",SUMPRODUCT(C11:F11,C$5:F$5)/SUMPRODUCT((C11:F11&lt;&gt;"")*(C$5:F$5)))</f>
        <v/>
      </c>
      <c r="H11" s="17" t="str">
        <f aca="false">IF(G11="","",IF(G11&gt;=70,"Distinction",IF(G11&gt;=50,"Pass","Not yet")))</f>
        <v/>
      </c>
    </row>
    <row r="12" customFormat="false" ht="15" hidden="false" customHeight="false" outlineLevel="0" collapsed="false">
      <c r="A12" s="6"/>
      <c r="B12" s="6"/>
      <c r="C12" s="18"/>
      <c r="D12" s="18"/>
      <c r="E12" s="18"/>
      <c r="F12" s="18"/>
      <c r="G12" s="16" t="str">
        <f aca="false">IF(COUNT(C12:F12)=0,"",SUMPRODUCT(C12:F12,C$5:F$5)/SUMPRODUCT((C12:F12&lt;&gt;"")*(C$5:F$5)))</f>
        <v/>
      </c>
      <c r="H12" s="17" t="str">
        <f aca="false">IF(G12="","",IF(G12&gt;=70,"Distinction",IF(G12&gt;=50,"Pass","Not yet")))</f>
        <v/>
      </c>
    </row>
    <row r="13" customFormat="false" ht="15" hidden="false" customHeight="false" outlineLevel="0" collapsed="false">
      <c r="A13" s="6"/>
      <c r="B13" s="6"/>
      <c r="C13" s="18"/>
      <c r="D13" s="18"/>
      <c r="E13" s="18"/>
      <c r="F13" s="18"/>
      <c r="G13" s="16" t="str">
        <f aca="false">IF(COUNT(C13:F13)=0,"",SUMPRODUCT(C13:F13,C$5:F$5)/SUMPRODUCT((C13:F13&lt;&gt;"")*(C$5:F$5)))</f>
        <v/>
      </c>
      <c r="H13" s="17" t="str">
        <f aca="false">IF(G13="","",IF(G13&gt;=70,"Distinction",IF(G13&gt;=50,"Pass","Not yet")))</f>
        <v/>
      </c>
    </row>
    <row r="14" customFormat="false" ht="15" hidden="false" customHeight="false" outlineLevel="0" collapsed="false">
      <c r="A14" s="6"/>
      <c r="B14" s="6"/>
      <c r="C14" s="18"/>
      <c r="D14" s="18"/>
      <c r="E14" s="18"/>
      <c r="F14" s="18"/>
      <c r="G14" s="16" t="str">
        <f aca="false">IF(COUNT(C14:F14)=0,"",SUMPRODUCT(C14:F14,C$5:F$5)/SUMPRODUCT((C14:F14&lt;&gt;"")*(C$5:F$5)))</f>
        <v/>
      </c>
      <c r="H14" s="17" t="str">
        <f aca="false">IF(G14="","",IF(G14&gt;=70,"Distinction",IF(G14&gt;=50,"Pass","Not yet")))</f>
        <v/>
      </c>
    </row>
    <row r="15" customFormat="false" ht="15" hidden="false" customHeight="false" outlineLevel="0" collapsed="false">
      <c r="A15" s="6"/>
      <c r="B15" s="6"/>
      <c r="C15" s="18"/>
      <c r="D15" s="18"/>
      <c r="E15" s="18"/>
      <c r="F15" s="18"/>
      <c r="G15" s="16" t="str">
        <f aca="false">IF(COUNT(C15:F15)=0,"",SUMPRODUCT(C15:F15,C$5:F$5)/SUMPRODUCT((C15:F15&lt;&gt;"")*(C$5:F$5)))</f>
        <v/>
      </c>
      <c r="H15" s="17" t="str">
        <f aca="false">IF(G15="","",IF(G15&gt;=70,"Distinction",IF(G15&gt;=50,"Pass","Not yet")))</f>
        <v/>
      </c>
    </row>
    <row r="16" customFormat="false" ht="15" hidden="false" customHeight="false" outlineLevel="0" collapsed="false">
      <c r="A16" s="6"/>
      <c r="B16" s="6"/>
      <c r="C16" s="18"/>
      <c r="D16" s="18"/>
      <c r="E16" s="18"/>
      <c r="F16" s="18"/>
      <c r="G16" s="16" t="str">
        <f aca="false">IF(COUNT(C16:F16)=0,"",SUMPRODUCT(C16:F16,C$5:F$5)/SUMPRODUCT((C16:F16&lt;&gt;"")*(C$5:F$5)))</f>
        <v/>
      </c>
      <c r="H16" s="17" t="str">
        <f aca="false">IF(G16="","",IF(G16&gt;=70,"Distinction",IF(G16&gt;=50,"Pass","Not yet")))</f>
        <v/>
      </c>
    </row>
    <row r="17" customFormat="false" ht="15" hidden="false" customHeight="false" outlineLevel="0" collapsed="false">
      <c r="A17" s="6"/>
      <c r="B17" s="6"/>
      <c r="C17" s="18"/>
      <c r="D17" s="18"/>
      <c r="E17" s="18"/>
      <c r="F17" s="18"/>
      <c r="G17" s="16" t="str">
        <f aca="false">IF(COUNT(C17:F17)=0,"",SUMPRODUCT(C17:F17,C$5:F$5)/SUMPRODUCT((C17:F17&lt;&gt;"")*(C$5:F$5)))</f>
        <v/>
      </c>
      <c r="H17" s="17" t="str">
        <f aca="false">IF(G17="","",IF(G17&gt;=70,"Distinction",IF(G17&gt;=50,"Pass","Not yet")))</f>
        <v/>
      </c>
    </row>
    <row r="18" customFormat="false" ht="15" hidden="false" customHeight="false" outlineLevel="0" collapsed="false">
      <c r="A18" s="6"/>
      <c r="B18" s="6"/>
      <c r="C18" s="18"/>
      <c r="D18" s="18"/>
      <c r="E18" s="18"/>
      <c r="F18" s="18"/>
      <c r="G18" s="16" t="str">
        <f aca="false">IF(COUNT(C18:F18)=0,"",SUMPRODUCT(C18:F18,C$5:F$5)/SUMPRODUCT((C18:F18&lt;&gt;"")*(C$5:F$5)))</f>
        <v/>
      </c>
      <c r="H18" s="17" t="str">
        <f aca="false">IF(G18="","",IF(G18&gt;=70,"Distinction",IF(G18&gt;=50,"Pass","Not yet")))</f>
        <v/>
      </c>
    </row>
    <row r="19" customFormat="false" ht="15" hidden="false" customHeight="false" outlineLevel="0" collapsed="false">
      <c r="A19" s="6"/>
      <c r="B19" s="6"/>
      <c r="C19" s="18"/>
      <c r="D19" s="18"/>
      <c r="E19" s="18"/>
      <c r="F19" s="18"/>
      <c r="G19" s="16" t="str">
        <f aca="false">IF(COUNT(C19:F19)=0,"",SUMPRODUCT(C19:F19,C$5:F$5)/SUMPRODUCT((C19:F19&lt;&gt;"")*(C$5:F$5)))</f>
        <v/>
      </c>
      <c r="H19" s="17" t="str">
        <f aca="false">IF(G19="","",IF(G19&gt;=70,"Distinction",IF(G19&gt;=50,"Pass","Not yet")))</f>
        <v/>
      </c>
    </row>
    <row r="20" customFormat="false" ht="15" hidden="false" customHeight="false" outlineLevel="0" collapsed="false">
      <c r="A20" s="6"/>
      <c r="B20" s="6"/>
      <c r="C20" s="18"/>
      <c r="D20" s="18"/>
      <c r="E20" s="18"/>
      <c r="F20" s="18"/>
      <c r="G20" s="16" t="str">
        <f aca="false">IF(COUNT(C20:F20)=0,"",SUMPRODUCT(C20:F20,C$5:F$5)/SUMPRODUCT((C20:F20&lt;&gt;"")*(C$5:F$5)))</f>
        <v/>
      </c>
      <c r="H20" s="17" t="str">
        <f aca="false">IF(G20="","",IF(G20&gt;=70,"Distinction",IF(G20&gt;=50,"Pass","Not yet")))</f>
        <v/>
      </c>
    </row>
    <row r="21" customFormat="false" ht="15" hidden="false" customHeight="false" outlineLevel="0" collapsed="false">
      <c r="A21" s="6"/>
      <c r="B21" s="6"/>
      <c r="C21" s="18"/>
      <c r="D21" s="18"/>
      <c r="E21" s="18"/>
      <c r="F21" s="18"/>
      <c r="G21" s="16" t="str">
        <f aca="false">IF(COUNT(C21:F21)=0,"",SUMPRODUCT(C21:F21,C$5:F$5)/SUMPRODUCT((C21:F21&lt;&gt;"")*(C$5:F$5)))</f>
        <v/>
      </c>
      <c r="H21" s="17" t="str">
        <f aca="false">IF(G21="","",IF(G21&gt;=70,"Distinction",IF(G21&gt;=50,"Pass","Not yet")))</f>
        <v/>
      </c>
    </row>
    <row r="22" customFormat="false" ht="15" hidden="false" customHeight="false" outlineLevel="0" collapsed="false">
      <c r="A22" s="6"/>
      <c r="B22" s="6"/>
      <c r="C22" s="18"/>
      <c r="D22" s="18"/>
      <c r="E22" s="18"/>
      <c r="F22" s="18"/>
      <c r="G22" s="16" t="str">
        <f aca="false">IF(COUNT(C22:F22)=0,"",SUMPRODUCT(C22:F22,C$5:F$5)/SUMPRODUCT((C22:F22&lt;&gt;"")*(C$5:F$5)))</f>
        <v/>
      </c>
      <c r="H22" s="17" t="str">
        <f aca="false">IF(G22="","",IF(G22&gt;=70,"Distinction",IF(G22&gt;=50,"Pass","Not yet")))</f>
        <v/>
      </c>
    </row>
    <row r="23" customFormat="false" ht="15" hidden="false" customHeight="false" outlineLevel="0" collapsed="false">
      <c r="A23" s="6"/>
      <c r="B23" s="6"/>
      <c r="C23" s="18"/>
      <c r="D23" s="18"/>
      <c r="E23" s="18"/>
      <c r="F23" s="18"/>
      <c r="G23" s="16" t="str">
        <f aca="false">IF(COUNT(C23:F23)=0,"",SUMPRODUCT(C23:F23,C$5:F$5)/SUMPRODUCT((C23:F23&lt;&gt;"")*(C$5:F$5)))</f>
        <v/>
      </c>
      <c r="H23" s="17" t="str">
        <f aca="false">IF(G23="","",IF(G23&gt;=70,"Distinction",IF(G23&gt;=50,"Pass","Not yet")))</f>
        <v/>
      </c>
    </row>
    <row r="24" customFormat="false" ht="15" hidden="false" customHeight="false" outlineLevel="0" collapsed="false">
      <c r="A24" s="6"/>
      <c r="B24" s="6"/>
      <c r="C24" s="18"/>
      <c r="D24" s="18"/>
      <c r="E24" s="18"/>
      <c r="F24" s="18"/>
      <c r="G24" s="16" t="str">
        <f aca="false">IF(COUNT(C24:F24)=0,"",SUMPRODUCT(C24:F24,C$5:F$5)/SUMPRODUCT((C24:F24&lt;&gt;"")*(C$5:F$5)))</f>
        <v/>
      </c>
      <c r="H24" s="17" t="str">
        <f aca="false">IF(G24="","",IF(G24&gt;=70,"Distinction",IF(G24&gt;=50,"Pass","Not yet")))</f>
        <v/>
      </c>
    </row>
    <row r="25" customFormat="false" ht="15" hidden="false" customHeight="false" outlineLevel="0" collapsed="false">
      <c r="A25" s="6"/>
      <c r="B25" s="6"/>
      <c r="C25" s="18"/>
      <c r="D25" s="18"/>
      <c r="E25" s="18"/>
      <c r="F25" s="18"/>
      <c r="G25" s="16" t="str">
        <f aca="false">IF(COUNT(C25:F25)=0,"",SUMPRODUCT(C25:F25,C$5:F$5)/SUMPRODUCT((C25:F25&lt;&gt;"")*(C$5:F$5)))</f>
        <v/>
      </c>
      <c r="H25" s="17" t="str">
        <f aca="false">IF(G25="","",IF(G25&gt;=70,"Distinction",IF(G25&gt;=50,"Pass","Not yet")))</f>
        <v/>
      </c>
    </row>
    <row r="26" customFormat="false" ht="15" hidden="false" customHeight="false" outlineLevel="0" collapsed="false">
      <c r="A26" s="6"/>
      <c r="B26" s="6"/>
      <c r="C26" s="18"/>
      <c r="D26" s="18"/>
      <c r="E26" s="18"/>
      <c r="F26" s="18"/>
      <c r="G26" s="16" t="str">
        <f aca="false">IF(COUNT(C26:F26)=0,"",SUMPRODUCT(C26:F26,C$5:F$5)/SUMPRODUCT((C26:F26&lt;&gt;"")*(C$5:F$5)))</f>
        <v/>
      </c>
      <c r="H26" s="17" t="str">
        <f aca="false">IF(G26="","",IF(G26&gt;=70,"Distinction",IF(G26&gt;=50,"Pass","Not yet")))</f>
        <v/>
      </c>
    </row>
    <row r="27" customFormat="false" ht="15" hidden="false" customHeight="false" outlineLevel="0" collapsed="false">
      <c r="A27" s="6"/>
      <c r="B27" s="6"/>
      <c r="C27" s="18"/>
      <c r="D27" s="18"/>
      <c r="E27" s="18"/>
      <c r="F27" s="18"/>
      <c r="G27" s="16" t="str">
        <f aca="false">IF(COUNT(C27:F27)=0,"",SUMPRODUCT(C27:F27,C$5:F$5)/SUMPRODUCT((C27:F27&lt;&gt;"")*(C$5:F$5)))</f>
        <v/>
      </c>
      <c r="H27" s="17" t="str">
        <f aca="false">IF(G27="","",IF(G27&gt;=70,"Distinction",IF(G27&gt;=50,"Pass","Not yet")))</f>
        <v/>
      </c>
    </row>
    <row r="28" customFormat="false" ht="15" hidden="false" customHeight="false" outlineLevel="0" collapsed="false">
      <c r="A28" s="6"/>
      <c r="B28" s="6"/>
      <c r="C28" s="18"/>
      <c r="D28" s="18"/>
      <c r="E28" s="18"/>
      <c r="F28" s="18"/>
      <c r="G28" s="16" t="str">
        <f aca="false">IF(COUNT(C28:F28)=0,"",SUMPRODUCT(C28:F28,C$5:F$5)/SUMPRODUCT((C28:F28&lt;&gt;"")*(C$5:F$5)))</f>
        <v/>
      </c>
      <c r="H28" s="17" t="str">
        <f aca="false">IF(G28="","",IF(G28&gt;=70,"Distinction",IF(G28&gt;=50,"Pass","Not yet")))</f>
        <v/>
      </c>
    </row>
    <row r="29" customFormat="false" ht="15" hidden="false" customHeight="false" outlineLevel="0" collapsed="false">
      <c r="A29" s="6"/>
      <c r="B29" s="6"/>
      <c r="C29" s="18"/>
      <c r="D29" s="18"/>
      <c r="E29" s="18"/>
      <c r="F29" s="18"/>
      <c r="G29" s="16" t="str">
        <f aca="false">IF(COUNT(C29:F29)=0,"",SUMPRODUCT(C29:F29,C$5:F$5)/SUMPRODUCT((C29:F29&lt;&gt;"")*(C$5:F$5)))</f>
        <v/>
      </c>
      <c r="H29" s="17" t="str">
        <f aca="false">IF(G29="","",IF(G29&gt;=70,"Distinction",IF(G29&gt;=50,"Pass","Not yet")))</f>
        <v/>
      </c>
    </row>
    <row r="31" customFormat="false" ht="15" hidden="false" customHeight="false" outlineLevel="0" collapsed="false">
      <c r="A31" s="19" t="s">
        <v>137</v>
      </c>
    </row>
    <row r="32" customFormat="false" ht="15" hidden="false" customHeight="false" outlineLevel="0" collapsed="false">
      <c r="A32" s="19" t="s">
        <v>138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0"/>
    <col collapsed="false" customWidth="true" hidden="false" outlineLevel="0" max="4" min="4" style="1" width="40"/>
    <col collapsed="false" customWidth="true" hidden="false" outlineLevel="0" max="5" min="5" style="1" width="14"/>
    <col collapsed="false" customWidth="true" hidden="false" outlineLevel="0" max="6" min="6" style="1" width="60"/>
  </cols>
  <sheetData>
    <row r="1" customFormat="false" ht="24" hidden="false" customHeight="true" outlineLevel="0" collapsed="false">
      <c r="A1" s="2" t="s">
        <v>139</v>
      </c>
      <c r="B1" s="2"/>
      <c r="C1" s="2"/>
      <c r="D1" s="2"/>
      <c r="E1" s="2"/>
      <c r="F1" s="2"/>
    </row>
    <row r="2" customFormat="false" ht="15.75" hidden="false" customHeight="true" outlineLevel="0" collapsed="false">
      <c r="A2" s="3" t="s">
        <v>140</v>
      </c>
      <c r="B2" s="3"/>
      <c r="C2" s="3"/>
      <c r="D2" s="3"/>
      <c r="E2" s="3"/>
      <c r="F2" s="3"/>
    </row>
    <row r="4" customFormat="false" ht="30" hidden="false" customHeight="true" outlineLevel="0" collapsed="false">
      <c r="A4" s="4" t="s">
        <v>141</v>
      </c>
      <c r="B4" s="4" t="s">
        <v>142</v>
      </c>
      <c r="C4" s="4" t="s">
        <v>143</v>
      </c>
      <c r="D4" s="4" t="s">
        <v>144</v>
      </c>
      <c r="E4" s="4" t="s">
        <v>145</v>
      </c>
      <c r="F4" s="4" t="s">
        <v>146</v>
      </c>
    </row>
    <row r="5" customFormat="false" ht="61.5" hidden="false" customHeight="true" outlineLevel="0" collapsed="false">
      <c r="A5" s="6" t="s">
        <v>147</v>
      </c>
      <c r="B5" s="6" t="s">
        <v>148</v>
      </c>
      <c r="C5" s="6" t="s">
        <v>149</v>
      </c>
      <c r="D5" s="6" t="s">
        <v>150</v>
      </c>
      <c r="E5" s="6" t="s">
        <v>151</v>
      </c>
      <c r="F5" s="6" t="s">
        <v>152</v>
      </c>
    </row>
    <row r="6" customFormat="false" ht="61.5" hidden="false" customHeight="true" outlineLevel="0" collapsed="false">
      <c r="A6" s="6" t="s">
        <v>153</v>
      </c>
      <c r="B6" s="6" t="s">
        <v>154</v>
      </c>
      <c r="C6" s="6" t="s">
        <v>155</v>
      </c>
      <c r="D6" s="6" t="s">
        <v>156</v>
      </c>
      <c r="E6" s="6" t="s">
        <v>151</v>
      </c>
      <c r="F6" s="6" t="s">
        <v>157</v>
      </c>
    </row>
    <row r="7" customFormat="false" ht="61.5" hidden="false" customHeight="true" outlineLevel="0" collapsed="false">
      <c r="A7" s="6" t="s">
        <v>158</v>
      </c>
      <c r="B7" s="6" t="s">
        <v>159</v>
      </c>
      <c r="C7" s="6" t="s">
        <v>155</v>
      </c>
      <c r="D7" s="6" t="s">
        <v>160</v>
      </c>
      <c r="E7" s="6" t="s">
        <v>151</v>
      </c>
      <c r="F7" s="6" t="s">
        <v>161</v>
      </c>
    </row>
    <row r="8" customFormat="false" ht="61.5" hidden="false" customHeight="true" outlineLevel="0" collapsed="false">
      <c r="A8" s="6" t="s">
        <v>162</v>
      </c>
      <c r="B8" s="6" t="s">
        <v>163</v>
      </c>
      <c r="C8" s="6" t="s">
        <v>155</v>
      </c>
      <c r="D8" s="6" t="s">
        <v>164</v>
      </c>
      <c r="E8" s="6" t="s">
        <v>151</v>
      </c>
      <c r="F8" s="6" t="s">
        <v>165</v>
      </c>
    </row>
    <row r="9" customFormat="false" ht="61.5" hidden="false" customHeight="true" outlineLevel="0" collapsed="false">
      <c r="A9" s="6" t="s">
        <v>166</v>
      </c>
      <c r="B9" s="6" t="s">
        <v>167</v>
      </c>
      <c r="C9" s="6" t="s">
        <v>168</v>
      </c>
      <c r="D9" s="6" t="s">
        <v>169</v>
      </c>
      <c r="E9" s="6" t="s">
        <v>170</v>
      </c>
      <c r="F9" s="6" t="s">
        <v>171</v>
      </c>
    </row>
    <row r="10" customFormat="false" ht="61.5" hidden="false" customHeight="true" outlineLevel="0" collapsed="false">
      <c r="A10" s="6" t="s">
        <v>172</v>
      </c>
      <c r="B10" s="6" t="s">
        <v>173</v>
      </c>
      <c r="C10" s="6" t="s">
        <v>174</v>
      </c>
      <c r="D10" s="6" t="s">
        <v>175</v>
      </c>
      <c r="E10" s="6" t="s">
        <v>151</v>
      </c>
      <c r="F10" s="6" t="s">
        <v>176</v>
      </c>
    </row>
    <row r="12" customFormat="false" ht="15" hidden="false" customHeight="false" outlineLevel="0" collapsed="false">
      <c r="A12" s="20" t="s">
        <v>177</v>
      </c>
      <c r="B12" s="20"/>
      <c r="C12" s="20"/>
      <c r="D12" s="20"/>
      <c r="E12" s="20"/>
      <c r="F12" s="20"/>
    </row>
    <row r="13" customFormat="false" ht="48" hidden="false" customHeight="true" outlineLevel="0" collapsed="false">
      <c r="A13" s="14" t="s">
        <v>178</v>
      </c>
      <c r="B13" s="21" t="s">
        <v>179</v>
      </c>
      <c r="C13" s="21"/>
      <c r="D13" s="21"/>
      <c r="E13" s="21"/>
      <c r="F13" s="21"/>
    </row>
    <row r="14" customFormat="false" ht="48" hidden="false" customHeight="true" outlineLevel="0" collapsed="false">
      <c r="A14" s="14" t="s">
        <v>180</v>
      </c>
      <c r="B14" s="21" t="s">
        <v>181</v>
      </c>
      <c r="C14" s="21"/>
      <c r="D14" s="21"/>
      <c r="E14" s="21"/>
      <c r="F14" s="21"/>
    </row>
    <row r="15" customFormat="false" ht="48" hidden="false" customHeight="true" outlineLevel="0" collapsed="false">
      <c r="A15" s="14" t="s">
        <v>182</v>
      </c>
      <c r="B15" s="21" t="s">
        <v>183</v>
      </c>
      <c r="C15" s="21"/>
      <c r="D15" s="21"/>
      <c r="E15" s="21"/>
      <c r="F15" s="21"/>
    </row>
    <row r="16" customFormat="false" ht="48" hidden="false" customHeight="true" outlineLevel="0" collapsed="false">
      <c r="A16" s="14" t="s">
        <v>184</v>
      </c>
      <c r="B16" s="21" t="s">
        <v>185</v>
      </c>
      <c r="C16" s="21"/>
      <c r="D16" s="21"/>
      <c r="E16" s="21"/>
      <c r="F16" s="21"/>
    </row>
    <row r="17" customFormat="false" ht="48" hidden="false" customHeight="true" outlineLevel="0" collapsed="false">
      <c r="A17" s="14" t="s">
        <v>186</v>
      </c>
      <c r="B17" s="21" t="s">
        <v>187</v>
      </c>
      <c r="C17" s="21"/>
      <c r="D17" s="21"/>
      <c r="E17" s="21"/>
      <c r="F17" s="21"/>
    </row>
  </sheetData>
  <mergeCells count="8">
    <mergeCell ref="A1:F1"/>
    <mergeCell ref="A2:F2"/>
    <mergeCell ref="A12:F12"/>
    <mergeCell ref="B13:F13"/>
    <mergeCell ref="B14:F14"/>
    <mergeCell ref="B15:F15"/>
    <mergeCell ref="B16:F16"/>
    <mergeCell ref="B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26"/>
    <col collapsed="false" customWidth="true" hidden="false" outlineLevel="0" max="3" min="3" style="1" width="54"/>
  </cols>
  <sheetData>
    <row r="1" customFormat="false" ht="24" hidden="false" customHeight="true" outlineLevel="0" collapsed="false">
      <c r="A1" s="2" t="s">
        <v>188</v>
      </c>
      <c r="B1" s="2"/>
      <c r="C1" s="2"/>
    </row>
    <row r="2" customFormat="false" ht="15.75" hidden="false" customHeight="true" outlineLevel="0" collapsed="false">
      <c r="A2" s="3" t="s">
        <v>189</v>
      </c>
      <c r="B2" s="3"/>
      <c r="C2" s="3"/>
    </row>
    <row r="4" customFormat="false" ht="30" hidden="false" customHeight="true" outlineLevel="0" collapsed="false">
      <c r="A4" s="4" t="s">
        <v>97</v>
      </c>
      <c r="B4" s="4" t="s">
        <v>190</v>
      </c>
      <c r="C4" s="4" t="s">
        <v>191</v>
      </c>
    </row>
    <row r="5" customFormat="false" ht="15.75" hidden="false" customHeight="true" outlineLevel="0" collapsed="false">
      <c r="A5" s="6" t="s">
        <v>192</v>
      </c>
      <c r="B5" s="6" t="n">
        <v>6000</v>
      </c>
      <c r="C5" s="6" t="s">
        <v>193</v>
      </c>
    </row>
    <row r="6" customFormat="false" ht="15.75" hidden="false" customHeight="true" outlineLevel="0" collapsed="false">
      <c r="A6" s="6" t="s">
        <v>194</v>
      </c>
      <c r="B6" s="6" t="n">
        <v>4837</v>
      </c>
      <c r="C6" s="6" t="s">
        <v>195</v>
      </c>
    </row>
    <row r="7" customFormat="false" ht="15.75" hidden="false" customHeight="true" outlineLevel="0" collapsed="false">
      <c r="A7" s="6" t="s">
        <v>196</v>
      </c>
      <c r="B7" s="6" t="n">
        <v>575</v>
      </c>
      <c r="C7" s="6" t="s">
        <v>195</v>
      </c>
    </row>
    <row r="8" customFormat="false" ht="15.75" hidden="false" customHeight="true" outlineLevel="0" collapsed="false">
      <c r="A8" s="6" t="s">
        <v>197</v>
      </c>
      <c r="B8" s="6" t="n">
        <v>6000</v>
      </c>
      <c r="C8" s="6" t="s">
        <v>198</v>
      </c>
    </row>
    <row r="9" customFormat="false" ht="15.75" hidden="false" customHeight="true" outlineLevel="0" collapsed="false">
      <c r="A9" s="6" t="s">
        <v>199</v>
      </c>
      <c r="B9" s="6" t="n">
        <v>5828</v>
      </c>
      <c r="C9" s="6" t="s">
        <v>200</v>
      </c>
    </row>
    <row r="10" customFormat="false" ht="15.75" hidden="false" customHeight="true" outlineLevel="0" collapsed="false">
      <c r="A10" s="6" t="s">
        <v>201</v>
      </c>
      <c r="B10" s="22" t="n">
        <v>10758894480</v>
      </c>
      <c r="C10" s="6" t="s">
        <v>202</v>
      </c>
    </row>
    <row r="11" customFormat="false" ht="15.75" hidden="false" customHeight="true" outlineLevel="0" collapsed="false">
      <c r="A11" s="6" t="s">
        <v>203</v>
      </c>
      <c r="B11" s="22" t="n">
        <v>8751705520</v>
      </c>
      <c r="C11" s="6" t="s">
        <v>204</v>
      </c>
    </row>
    <row r="12" customFormat="false" ht="15.75" hidden="false" customHeight="true" outlineLevel="0" collapsed="false">
      <c r="A12" s="6" t="s">
        <v>205</v>
      </c>
      <c r="B12" s="22" t="n">
        <v>390632335</v>
      </c>
      <c r="C12" s="6" t="s">
        <v>206</v>
      </c>
    </row>
    <row r="13" customFormat="false" ht="15.75" hidden="false" customHeight="true" outlineLevel="0" collapsed="false">
      <c r="A13" s="6" t="s">
        <v>207</v>
      </c>
      <c r="B13" s="6" t="n">
        <v>172</v>
      </c>
      <c r="C13" s="6" t="s">
        <v>208</v>
      </c>
    </row>
    <row r="14" customFormat="false" ht="15.75" hidden="false" customHeight="true" outlineLevel="0" collapsed="false">
      <c r="A14" s="6" t="s">
        <v>209</v>
      </c>
      <c r="B14" s="22" t="n">
        <v>197830550</v>
      </c>
      <c r="C14" s="6" t="s">
        <v>210</v>
      </c>
    </row>
    <row r="15" customFormat="false" ht="15.75" hidden="false" customHeight="true" outlineLevel="0" collapsed="false">
      <c r="A15" s="6" t="s">
        <v>211</v>
      </c>
      <c r="B15" s="22" t="n">
        <v>8751672145.42</v>
      </c>
      <c r="C15" s="6" t="s">
        <v>212</v>
      </c>
    </row>
    <row r="16" customFormat="false" ht="15.75" hidden="false" customHeight="true" outlineLevel="0" collapsed="false">
      <c r="A16" s="6" t="s">
        <v>213</v>
      </c>
      <c r="B16" s="22" t="n">
        <v>33374.58</v>
      </c>
      <c r="C16" s="6" t="s">
        <v>214</v>
      </c>
    </row>
    <row r="17" customFormat="false" ht="15.75" hidden="false" customHeight="true" outlineLevel="0" collapsed="false">
      <c r="A17" s="6" t="s">
        <v>215</v>
      </c>
      <c r="B17" s="22" t="n">
        <v>1793149.08</v>
      </c>
      <c r="C17" s="6" t="s">
        <v>216</v>
      </c>
    </row>
    <row r="18" customFormat="false" ht="15.75" hidden="false" customHeight="true" outlineLevel="0" collapsed="false">
      <c r="A18" s="6" t="s">
        <v>217</v>
      </c>
      <c r="B18" s="22" t="n">
        <v>374760</v>
      </c>
      <c r="C18" s="6" t="s">
        <v>218</v>
      </c>
    </row>
    <row r="19" customFormat="false" ht="15.75" hidden="false" customHeight="true" outlineLevel="0" collapsed="false">
      <c r="A19" s="6" t="s">
        <v>219</v>
      </c>
      <c r="B19" s="6" t="n">
        <v>4.785</v>
      </c>
      <c r="C19" s="6" t="s">
        <v>220</v>
      </c>
    </row>
    <row r="20" customFormat="false" ht="15.75" hidden="false" customHeight="true" outlineLevel="0" collapsed="false">
      <c r="A20" s="6" t="s">
        <v>221</v>
      </c>
      <c r="B20" s="22" t="n">
        <v>3896620</v>
      </c>
      <c r="C20" s="6" t="s">
        <v>222</v>
      </c>
    </row>
    <row r="22" customFormat="false" ht="15" hidden="false" customHeight="false" outlineLevel="0" collapsed="false">
      <c r="A22" s="19" t="s">
        <v>223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70"/>
    <col collapsed="false" customWidth="true" hidden="false" outlineLevel="0" max="3" min="3" style="1" width="34"/>
    <col collapsed="false" customWidth="true" hidden="false" outlineLevel="0" max="4" min="4" style="1" width="14"/>
  </cols>
  <sheetData>
    <row r="1" customFormat="false" ht="24" hidden="false" customHeight="true" outlineLevel="0" collapsed="false">
      <c r="A1" s="2" t="s">
        <v>224</v>
      </c>
      <c r="B1" s="2"/>
      <c r="C1" s="2"/>
      <c r="D1" s="2"/>
    </row>
    <row r="2" customFormat="false" ht="15.75" hidden="false" customHeight="true" outlineLevel="0" collapsed="false">
      <c r="A2" s="3" t="s">
        <v>225</v>
      </c>
      <c r="B2" s="3"/>
      <c r="C2" s="3"/>
      <c r="D2" s="3"/>
    </row>
    <row r="4" customFormat="false" ht="30" hidden="false" customHeight="true" outlineLevel="0" collapsed="false">
      <c r="A4" s="4" t="s">
        <v>226</v>
      </c>
      <c r="B4" s="4" t="s">
        <v>227</v>
      </c>
      <c r="C4" s="4" t="s">
        <v>228</v>
      </c>
      <c r="D4" s="4" t="s">
        <v>229</v>
      </c>
    </row>
    <row r="5" customFormat="false" ht="30" hidden="false" customHeight="true" outlineLevel="0" collapsed="false">
      <c r="A5" s="6" t="s">
        <v>230</v>
      </c>
      <c r="B5" s="6" t="s">
        <v>231</v>
      </c>
      <c r="C5" s="6" t="s">
        <v>232</v>
      </c>
      <c r="D5" s="6" t="n">
        <v>4</v>
      </c>
    </row>
    <row r="6" customFormat="false" ht="30" hidden="false" customHeight="true" outlineLevel="0" collapsed="false">
      <c r="A6" s="6" t="s">
        <v>233</v>
      </c>
      <c r="B6" s="6" t="s">
        <v>234</v>
      </c>
      <c r="C6" s="6" t="s">
        <v>235</v>
      </c>
      <c r="D6" s="6" t="n">
        <v>4</v>
      </c>
    </row>
    <row r="7" customFormat="false" ht="30" hidden="false" customHeight="true" outlineLevel="0" collapsed="false">
      <c r="A7" s="6" t="s">
        <v>236</v>
      </c>
      <c r="B7" s="6" t="s">
        <v>237</v>
      </c>
      <c r="C7" s="23" t="s">
        <v>238</v>
      </c>
      <c r="D7" s="6" t="n">
        <v>12</v>
      </c>
    </row>
    <row r="8" customFormat="false" ht="30" hidden="false" customHeight="true" outlineLevel="0" collapsed="false">
      <c r="A8" s="6" t="s">
        <v>239</v>
      </c>
      <c r="B8" s="6" t="s">
        <v>240</v>
      </c>
      <c r="C8" s="6" t="s">
        <v>241</v>
      </c>
      <c r="D8" s="6" t="n">
        <v>6</v>
      </c>
    </row>
    <row r="9" customFormat="false" ht="30" hidden="false" customHeight="true" outlineLevel="0" collapsed="false">
      <c r="A9" s="6" t="s">
        <v>242</v>
      </c>
      <c r="B9" s="6" t="s">
        <v>243</v>
      </c>
      <c r="C9" s="23" t="s">
        <v>238</v>
      </c>
      <c r="D9" s="6" t="n">
        <v>12</v>
      </c>
    </row>
    <row r="10" customFormat="false" ht="30" hidden="false" customHeight="true" outlineLevel="0" collapsed="false">
      <c r="A10" s="6" t="s">
        <v>244</v>
      </c>
      <c r="B10" s="6" t="s">
        <v>245</v>
      </c>
      <c r="C10" s="6" t="s">
        <v>246</v>
      </c>
      <c r="D10" s="6" t="n">
        <v>7</v>
      </c>
    </row>
    <row r="11" customFormat="false" ht="30" hidden="false" customHeight="true" outlineLevel="0" collapsed="false">
      <c r="A11" s="6" t="s">
        <v>247</v>
      </c>
      <c r="B11" s="6" t="s">
        <v>248</v>
      </c>
      <c r="C11" s="6" t="s">
        <v>249</v>
      </c>
      <c r="D11" s="6" t="n">
        <v>15</v>
      </c>
    </row>
    <row r="12" customFormat="false" ht="30" hidden="false" customHeight="true" outlineLevel="0" collapsed="false">
      <c r="A12" s="6" t="s">
        <v>250</v>
      </c>
      <c r="B12" s="6" t="s">
        <v>251</v>
      </c>
      <c r="C12" s="23" t="s">
        <v>238</v>
      </c>
      <c r="D12" s="6" t="n">
        <v>12</v>
      </c>
    </row>
    <row r="13" customFormat="false" ht="30" hidden="false" customHeight="true" outlineLevel="0" collapsed="false">
      <c r="A13" s="6" t="s">
        <v>252</v>
      </c>
      <c r="B13" s="6" t="s">
        <v>253</v>
      </c>
      <c r="C13" s="6" t="s">
        <v>254</v>
      </c>
      <c r="D13" s="6" t="n">
        <v>1</v>
      </c>
    </row>
    <row r="14" customFormat="false" ht="30" hidden="false" customHeight="true" outlineLevel="0" collapsed="false">
      <c r="A14" s="6" t="s">
        <v>255</v>
      </c>
      <c r="B14" s="6" t="s">
        <v>256</v>
      </c>
      <c r="C14" s="23" t="s">
        <v>238</v>
      </c>
      <c r="D14" s="6" t="n">
        <v>8</v>
      </c>
    </row>
    <row r="15" customFormat="false" ht="30" hidden="false" customHeight="true" outlineLevel="0" collapsed="false">
      <c r="A15" s="6" t="s">
        <v>257</v>
      </c>
      <c r="B15" s="6" t="s">
        <v>258</v>
      </c>
      <c r="C15" s="6" t="s">
        <v>259</v>
      </c>
      <c r="D15" s="6" t="n">
        <v>1</v>
      </c>
    </row>
    <row r="16" customFormat="false" ht="30" hidden="false" customHeight="true" outlineLevel="0" collapsed="false">
      <c r="A16" s="6" t="s">
        <v>260</v>
      </c>
      <c r="B16" s="6" t="s">
        <v>261</v>
      </c>
      <c r="C16" s="6" t="s">
        <v>262</v>
      </c>
      <c r="D16" s="6" t="n">
        <v>3</v>
      </c>
    </row>
    <row r="17" customFormat="false" ht="30" hidden="false" customHeight="true" outlineLevel="0" collapsed="false">
      <c r="A17" s="6" t="s">
        <v>263</v>
      </c>
      <c r="B17" s="6" t="s">
        <v>264</v>
      </c>
      <c r="C17" s="6" t="s">
        <v>265</v>
      </c>
      <c r="D17" s="6" t="n">
        <v>5</v>
      </c>
    </row>
    <row r="18" customFormat="false" ht="30" hidden="false" customHeight="true" outlineLevel="0" collapsed="false">
      <c r="A18" s="6" t="s">
        <v>266</v>
      </c>
      <c r="B18" s="6" t="s">
        <v>267</v>
      </c>
      <c r="C18" s="23" t="s">
        <v>238</v>
      </c>
      <c r="D18" s="6" t="n">
        <v>1</v>
      </c>
    </row>
    <row r="19" customFormat="false" ht="30" hidden="false" customHeight="true" outlineLevel="0" collapsed="false">
      <c r="A19" s="6" t="s">
        <v>268</v>
      </c>
      <c r="B19" s="6" t="s">
        <v>269</v>
      </c>
      <c r="C19" s="23" t="s">
        <v>238</v>
      </c>
      <c r="D19" s="6" t="n">
        <v>14</v>
      </c>
    </row>
    <row r="20" customFormat="false" ht="30" hidden="false" customHeight="true" outlineLevel="0" collapsed="false">
      <c r="A20" s="6" t="s">
        <v>270</v>
      </c>
      <c r="B20" s="6" t="s">
        <v>271</v>
      </c>
      <c r="C20" s="23" t="s">
        <v>238</v>
      </c>
      <c r="D20" s="6" t="n">
        <v>12</v>
      </c>
    </row>
    <row r="21" customFormat="false" ht="30" hidden="false" customHeight="true" outlineLevel="0" collapsed="false">
      <c r="A21" s="6" t="s">
        <v>272</v>
      </c>
      <c r="B21" s="6" t="s">
        <v>273</v>
      </c>
      <c r="C21" s="6" t="s">
        <v>274</v>
      </c>
      <c r="D21" s="6" t="n">
        <v>1</v>
      </c>
    </row>
    <row r="22" customFormat="false" ht="30" hidden="false" customHeight="true" outlineLevel="0" collapsed="false">
      <c r="A22" s="6" t="s">
        <v>275</v>
      </c>
      <c r="B22" s="6" t="s">
        <v>276</v>
      </c>
      <c r="C22" s="6" t="s">
        <v>277</v>
      </c>
      <c r="D22" s="6" t="n">
        <v>2</v>
      </c>
    </row>
    <row r="23" customFormat="false" ht="30" hidden="false" customHeight="true" outlineLevel="0" collapsed="false">
      <c r="A23" s="6" t="s">
        <v>278</v>
      </c>
      <c r="B23" s="6" t="s">
        <v>279</v>
      </c>
      <c r="C23" s="6" t="s">
        <v>280</v>
      </c>
      <c r="D23" s="6" t="n">
        <v>6</v>
      </c>
    </row>
    <row r="24" customFormat="false" ht="30" hidden="false" customHeight="true" outlineLevel="0" collapsed="false">
      <c r="A24" s="6" t="s">
        <v>141</v>
      </c>
      <c r="B24" s="6" t="s">
        <v>281</v>
      </c>
      <c r="C24" s="6" t="s">
        <v>282</v>
      </c>
      <c r="D24" s="6" t="n">
        <v>1</v>
      </c>
    </row>
    <row r="25" customFormat="false" ht="30" hidden="false" customHeight="true" outlineLevel="0" collapsed="false">
      <c r="A25" s="6" t="s">
        <v>283</v>
      </c>
      <c r="B25" s="6" t="s">
        <v>284</v>
      </c>
      <c r="C25" s="23" t="s">
        <v>238</v>
      </c>
      <c r="D25" s="6" t="n">
        <v>14</v>
      </c>
    </row>
    <row r="26" customFormat="false" ht="30" hidden="false" customHeight="true" outlineLevel="0" collapsed="false">
      <c r="A26" s="6" t="s">
        <v>285</v>
      </c>
      <c r="B26" s="6" t="s">
        <v>286</v>
      </c>
      <c r="C26" s="23" t="s">
        <v>238</v>
      </c>
      <c r="D26" s="6" t="n">
        <v>15</v>
      </c>
    </row>
    <row r="27" customFormat="false" ht="30" hidden="false" customHeight="true" outlineLevel="0" collapsed="false">
      <c r="A27" s="6" t="s">
        <v>287</v>
      </c>
      <c r="B27" s="6" t="s">
        <v>288</v>
      </c>
      <c r="C27" s="6" t="s">
        <v>249</v>
      </c>
      <c r="D27" s="6" t="n">
        <v>4</v>
      </c>
    </row>
    <row r="28" customFormat="false" ht="30" hidden="false" customHeight="true" outlineLevel="0" collapsed="false">
      <c r="A28" s="6" t="s">
        <v>289</v>
      </c>
      <c r="B28" s="6" t="s">
        <v>290</v>
      </c>
      <c r="C28" s="6" t="s">
        <v>291</v>
      </c>
      <c r="D28" s="6" t="n">
        <v>10</v>
      </c>
    </row>
    <row r="29" customFormat="false" ht="30" hidden="false" customHeight="true" outlineLevel="0" collapsed="false">
      <c r="A29" s="6" t="s">
        <v>292</v>
      </c>
      <c r="B29" s="6" t="s">
        <v>293</v>
      </c>
      <c r="C29" s="23" t="s">
        <v>238</v>
      </c>
      <c r="D29" s="6" t="n">
        <v>7</v>
      </c>
    </row>
    <row r="30" customFormat="false" ht="30" hidden="false" customHeight="true" outlineLevel="0" collapsed="false">
      <c r="A30" s="6" t="s">
        <v>294</v>
      </c>
      <c r="B30" s="6" t="s">
        <v>295</v>
      </c>
      <c r="C30" s="23" t="s">
        <v>238</v>
      </c>
      <c r="D30" s="6" t="n">
        <v>8</v>
      </c>
    </row>
    <row r="31" customFormat="false" ht="30" hidden="false" customHeight="true" outlineLevel="0" collapsed="false">
      <c r="A31" s="6" t="s">
        <v>296</v>
      </c>
      <c r="B31" s="6" t="s">
        <v>297</v>
      </c>
      <c r="C31" s="23" t="s">
        <v>238</v>
      </c>
      <c r="D31" s="6" t="n">
        <v>2</v>
      </c>
    </row>
    <row r="32" customFormat="false" ht="30" hidden="false" customHeight="true" outlineLevel="0" collapsed="false">
      <c r="A32" s="6" t="s">
        <v>298</v>
      </c>
      <c r="B32" s="6" t="s">
        <v>299</v>
      </c>
      <c r="C32" s="23" t="s">
        <v>238</v>
      </c>
      <c r="D32" s="6" t="n">
        <v>14</v>
      </c>
    </row>
    <row r="33" customFormat="false" ht="30" hidden="false" customHeight="true" outlineLevel="0" collapsed="false">
      <c r="A33" s="6" t="s">
        <v>300</v>
      </c>
      <c r="B33" s="6" t="s">
        <v>301</v>
      </c>
      <c r="C33" s="23" t="s">
        <v>238</v>
      </c>
      <c r="D33" s="6" t="n">
        <v>5</v>
      </c>
    </row>
    <row r="34" customFormat="false" ht="30" hidden="false" customHeight="true" outlineLevel="0" collapsed="false">
      <c r="A34" s="6" t="s">
        <v>302</v>
      </c>
      <c r="B34" s="6" t="s">
        <v>303</v>
      </c>
      <c r="C34" s="23" t="s">
        <v>238</v>
      </c>
      <c r="D34" s="6" t="n">
        <v>15</v>
      </c>
    </row>
    <row r="35" customFormat="false" ht="30" hidden="false" customHeight="true" outlineLevel="0" collapsed="false">
      <c r="A35" s="6" t="s">
        <v>304</v>
      </c>
      <c r="B35" s="6" t="s">
        <v>305</v>
      </c>
      <c r="C35" s="23" t="s">
        <v>238</v>
      </c>
      <c r="D35" s="6" t="n">
        <v>13</v>
      </c>
    </row>
    <row r="36" customFormat="false" ht="30" hidden="false" customHeight="true" outlineLevel="0" collapsed="false">
      <c r="A36" s="6" t="s">
        <v>306</v>
      </c>
      <c r="B36" s="6" t="s">
        <v>307</v>
      </c>
      <c r="C36" s="6" t="s">
        <v>308</v>
      </c>
      <c r="D36" s="6" t="n">
        <v>2</v>
      </c>
    </row>
    <row r="37" customFormat="false" ht="30" hidden="false" customHeight="true" outlineLevel="0" collapsed="false">
      <c r="A37" s="6" t="s">
        <v>309</v>
      </c>
      <c r="B37" s="6" t="s">
        <v>310</v>
      </c>
      <c r="C37" s="6" t="s">
        <v>311</v>
      </c>
      <c r="D37" s="6" t="n">
        <v>6</v>
      </c>
    </row>
    <row r="38" customFormat="false" ht="30" hidden="false" customHeight="true" outlineLevel="0" collapsed="false">
      <c r="A38" s="6" t="s">
        <v>312</v>
      </c>
      <c r="B38" s="6" t="s">
        <v>313</v>
      </c>
      <c r="C38" s="23" t="s">
        <v>238</v>
      </c>
      <c r="D38" s="6" t="n">
        <v>1</v>
      </c>
    </row>
    <row r="39" customFormat="false" ht="30" hidden="false" customHeight="true" outlineLevel="0" collapsed="false">
      <c r="A39" s="6" t="s">
        <v>314</v>
      </c>
      <c r="B39" s="6" t="s">
        <v>315</v>
      </c>
      <c r="C39" s="6" t="s">
        <v>316</v>
      </c>
      <c r="D39" s="6" t="n">
        <v>4</v>
      </c>
    </row>
    <row r="40" customFormat="false" ht="30" hidden="false" customHeight="true" outlineLevel="0" collapsed="false">
      <c r="A40" s="6" t="s">
        <v>317</v>
      </c>
      <c r="B40" s="6" t="s">
        <v>318</v>
      </c>
      <c r="C40" s="6" t="s">
        <v>319</v>
      </c>
      <c r="D40" s="6" t="n">
        <v>9</v>
      </c>
    </row>
    <row r="41" customFormat="false" ht="30" hidden="false" customHeight="true" outlineLevel="0" collapsed="false">
      <c r="A41" s="6" t="s">
        <v>320</v>
      </c>
      <c r="B41" s="6" t="s">
        <v>321</v>
      </c>
      <c r="C41" s="6" t="s">
        <v>322</v>
      </c>
      <c r="D41" s="6" t="n">
        <v>4</v>
      </c>
    </row>
    <row r="42" customFormat="false" ht="30" hidden="false" customHeight="true" outlineLevel="0" collapsed="false">
      <c r="A42" s="6" t="s">
        <v>323</v>
      </c>
      <c r="B42" s="6" t="s">
        <v>324</v>
      </c>
      <c r="C42" s="23" t="s">
        <v>238</v>
      </c>
      <c r="D42" s="6" t="n">
        <v>12</v>
      </c>
    </row>
    <row r="43" customFormat="false" ht="30" hidden="false" customHeight="true" outlineLevel="0" collapsed="false">
      <c r="A43" s="6" t="s">
        <v>325</v>
      </c>
      <c r="B43" s="6" t="s">
        <v>326</v>
      </c>
      <c r="C43" s="23" t="s">
        <v>238</v>
      </c>
      <c r="D43" s="6" t="n">
        <v>9</v>
      </c>
    </row>
    <row r="44" customFormat="false" ht="30" hidden="false" customHeight="true" outlineLevel="0" collapsed="false">
      <c r="A44" s="6" t="s">
        <v>327</v>
      </c>
      <c r="B44" s="6" t="s">
        <v>328</v>
      </c>
      <c r="C44" s="6" t="s">
        <v>329</v>
      </c>
      <c r="D44" s="6" t="n">
        <v>5</v>
      </c>
    </row>
    <row r="45" customFormat="false" ht="30" hidden="false" customHeight="true" outlineLevel="0" collapsed="false">
      <c r="A45" s="6" t="s">
        <v>330</v>
      </c>
      <c r="B45" s="6" t="s">
        <v>331</v>
      </c>
      <c r="C45" s="6" t="s">
        <v>332</v>
      </c>
      <c r="D45" s="6" t="n">
        <v>2</v>
      </c>
    </row>
    <row r="46" customFormat="false" ht="30" hidden="false" customHeight="true" outlineLevel="0" collapsed="false">
      <c r="A46" s="6" t="s">
        <v>333</v>
      </c>
      <c r="B46" s="6" t="s">
        <v>334</v>
      </c>
      <c r="C46" s="23" t="s">
        <v>238</v>
      </c>
      <c r="D46" s="6" t="n">
        <v>13</v>
      </c>
    </row>
    <row r="47" customFormat="false" ht="30" hidden="false" customHeight="true" outlineLevel="0" collapsed="false">
      <c r="A47" s="6" t="s">
        <v>335</v>
      </c>
      <c r="B47" s="6" t="s">
        <v>336</v>
      </c>
      <c r="C47" s="6" t="s">
        <v>337</v>
      </c>
      <c r="D47" s="6" t="n">
        <v>5</v>
      </c>
    </row>
    <row r="48" customFormat="false" ht="30" hidden="false" customHeight="true" outlineLevel="0" collapsed="false">
      <c r="A48" s="6" t="s">
        <v>338</v>
      </c>
      <c r="B48" s="6" t="s">
        <v>339</v>
      </c>
      <c r="C48" s="6" t="s">
        <v>340</v>
      </c>
      <c r="D48" s="6" t="n">
        <v>6</v>
      </c>
    </row>
    <row r="49" customFormat="false" ht="30" hidden="false" customHeight="true" outlineLevel="0" collapsed="false">
      <c r="A49" s="6" t="s">
        <v>341</v>
      </c>
      <c r="B49" s="6" t="s">
        <v>342</v>
      </c>
      <c r="C49" s="23" t="s">
        <v>238</v>
      </c>
      <c r="D49" s="6" t="n">
        <v>3</v>
      </c>
    </row>
    <row r="50" customFormat="false" ht="30" hidden="false" customHeight="true" outlineLevel="0" collapsed="false">
      <c r="A50" s="6" t="s">
        <v>343</v>
      </c>
      <c r="B50" s="6" t="s">
        <v>344</v>
      </c>
      <c r="C50" s="23" t="s">
        <v>238</v>
      </c>
      <c r="D50" s="6" t="n">
        <v>13</v>
      </c>
    </row>
    <row r="51" customFormat="false" ht="30" hidden="false" customHeight="true" outlineLevel="0" collapsed="false">
      <c r="A51" s="6" t="s">
        <v>345</v>
      </c>
      <c r="B51" s="6" t="s">
        <v>346</v>
      </c>
      <c r="C51" s="6" t="s">
        <v>347</v>
      </c>
      <c r="D51" s="6" t="n">
        <v>10</v>
      </c>
    </row>
    <row r="52" customFormat="false" ht="30" hidden="false" customHeight="true" outlineLevel="0" collapsed="false">
      <c r="A52" s="6" t="s">
        <v>348</v>
      </c>
      <c r="B52" s="6" t="s">
        <v>349</v>
      </c>
      <c r="C52" s="6" t="s">
        <v>350</v>
      </c>
      <c r="D52" s="6" t="n">
        <v>15</v>
      </c>
    </row>
    <row r="53" customFormat="false" ht="30" hidden="false" customHeight="true" outlineLevel="0" collapsed="false">
      <c r="A53" s="6" t="s">
        <v>351</v>
      </c>
      <c r="B53" s="6" t="s">
        <v>352</v>
      </c>
      <c r="C53" s="6" t="s">
        <v>353</v>
      </c>
      <c r="D53" s="6" t="n">
        <v>10</v>
      </c>
    </row>
    <row r="54" customFormat="false" ht="30" hidden="false" customHeight="true" outlineLevel="0" collapsed="false">
      <c r="A54" s="6" t="s">
        <v>354</v>
      </c>
      <c r="B54" s="6" t="s">
        <v>355</v>
      </c>
      <c r="C54" s="6" t="s">
        <v>356</v>
      </c>
      <c r="D54" s="6" t="n">
        <v>9</v>
      </c>
    </row>
    <row r="55" customFormat="false" ht="30" hidden="false" customHeight="true" outlineLevel="0" collapsed="false">
      <c r="A55" s="6" t="s">
        <v>357</v>
      </c>
      <c r="B55" s="6" t="s">
        <v>358</v>
      </c>
      <c r="C55" s="6" t="s">
        <v>359</v>
      </c>
      <c r="D55" s="6" t="n">
        <v>7</v>
      </c>
    </row>
    <row r="56" customFormat="false" ht="30" hidden="false" customHeight="true" outlineLevel="0" collapsed="false">
      <c r="A56" s="6" t="s">
        <v>360</v>
      </c>
      <c r="B56" s="6" t="s">
        <v>361</v>
      </c>
      <c r="C56" s="6" t="s">
        <v>362</v>
      </c>
      <c r="D56" s="6" t="n">
        <v>10</v>
      </c>
    </row>
    <row r="57" customFormat="false" ht="30" hidden="false" customHeight="true" outlineLevel="0" collapsed="false">
      <c r="A57" s="6" t="s">
        <v>363</v>
      </c>
      <c r="B57" s="6" t="s">
        <v>364</v>
      </c>
      <c r="C57" s="23" t="s">
        <v>238</v>
      </c>
      <c r="D57" s="6" t="n">
        <v>11</v>
      </c>
    </row>
    <row r="58" customFormat="false" ht="30" hidden="false" customHeight="true" outlineLevel="0" collapsed="false">
      <c r="A58" s="6" t="s">
        <v>365</v>
      </c>
      <c r="B58" s="6" t="s">
        <v>366</v>
      </c>
      <c r="C58" s="6" t="s">
        <v>367</v>
      </c>
      <c r="D58" s="6" t="n">
        <v>3</v>
      </c>
    </row>
    <row r="59" customFormat="false" ht="30" hidden="false" customHeight="true" outlineLevel="0" collapsed="false">
      <c r="A59" s="6" t="s">
        <v>368</v>
      </c>
      <c r="B59" s="6" t="s">
        <v>369</v>
      </c>
      <c r="C59" s="23" t="s">
        <v>238</v>
      </c>
      <c r="D59" s="6" t="n">
        <v>13</v>
      </c>
    </row>
    <row r="60" customFormat="false" ht="30" hidden="false" customHeight="true" outlineLevel="0" collapsed="false">
      <c r="A60" s="6" t="s">
        <v>370</v>
      </c>
      <c r="B60" s="6" t="s">
        <v>371</v>
      </c>
      <c r="C60" s="23" t="s">
        <v>238</v>
      </c>
      <c r="D60" s="6" t="n">
        <v>2</v>
      </c>
    </row>
    <row r="61" customFormat="false" ht="30" hidden="false" customHeight="true" outlineLevel="0" collapsed="false">
      <c r="A61" s="6" t="s">
        <v>372</v>
      </c>
      <c r="B61" s="6" t="s">
        <v>373</v>
      </c>
      <c r="C61" s="6" t="s">
        <v>374</v>
      </c>
      <c r="D61" s="6" t="n">
        <v>3</v>
      </c>
    </row>
    <row r="62" customFormat="false" ht="30" hidden="false" customHeight="true" outlineLevel="0" collapsed="false">
      <c r="A62" s="6" t="s">
        <v>375</v>
      </c>
      <c r="B62" s="6" t="s">
        <v>376</v>
      </c>
      <c r="C62" s="23" t="s">
        <v>238</v>
      </c>
      <c r="D62" s="6" t="n">
        <v>10</v>
      </c>
    </row>
    <row r="63" customFormat="false" ht="30" hidden="false" customHeight="true" outlineLevel="0" collapsed="false">
      <c r="A63" s="6" t="s">
        <v>377</v>
      </c>
      <c r="B63" s="6" t="s">
        <v>378</v>
      </c>
      <c r="C63" s="23" t="s">
        <v>238</v>
      </c>
      <c r="D63" s="6" t="n">
        <v>6</v>
      </c>
    </row>
    <row r="64" customFormat="false" ht="30" hidden="false" customHeight="true" outlineLevel="0" collapsed="false">
      <c r="A64" s="6" t="s">
        <v>379</v>
      </c>
      <c r="B64" s="6" t="s">
        <v>380</v>
      </c>
      <c r="C64" s="23" t="s">
        <v>238</v>
      </c>
      <c r="D64" s="6" t="n">
        <v>11</v>
      </c>
    </row>
    <row r="65" customFormat="false" ht="30" hidden="false" customHeight="true" outlineLevel="0" collapsed="false">
      <c r="A65" s="6" t="s">
        <v>381</v>
      </c>
      <c r="B65" s="6" t="s">
        <v>382</v>
      </c>
      <c r="C65" s="6" t="s">
        <v>383</v>
      </c>
      <c r="D65" s="6" t="n">
        <v>10</v>
      </c>
    </row>
    <row r="66" customFormat="false" ht="30" hidden="false" customHeight="true" outlineLevel="0" collapsed="false">
      <c r="A66" s="6" t="s">
        <v>384</v>
      </c>
      <c r="B66" s="6" t="s">
        <v>385</v>
      </c>
      <c r="C66" s="23" t="s">
        <v>238</v>
      </c>
      <c r="D66" s="6" t="n">
        <v>14</v>
      </c>
    </row>
    <row r="67" customFormat="false" ht="30" hidden="false" customHeight="true" outlineLevel="0" collapsed="false">
      <c r="A67" s="6" t="s">
        <v>386</v>
      </c>
      <c r="B67" s="6" t="s">
        <v>387</v>
      </c>
      <c r="C67" s="6" t="s">
        <v>388</v>
      </c>
      <c r="D67" s="6" t="n">
        <v>2</v>
      </c>
    </row>
    <row r="68" customFormat="false" ht="30" hidden="false" customHeight="true" outlineLevel="0" collapsed="false">
      <c r="A68" s="6" t="s">
        <v>389</v>
      </c>
      <c r="B68" s="6" t="s">
        <v>390</v>
      </c>
      <c r="C68" s="23" t="s">
        <v>238</v>
      </c>
      <c r="D68" s="6" t="n">
        <v>7</v>
      </c>
    </row>
    <row r="69" customFormat="false" ht="30" hidden="false" customHeight="true" outlineLevel="0" collapsed="false">
      <c r="A69" s="6" t="s">
        <v>391</v>
      </c>
      <c r="B69" s="6" t="s">
        <v>392</v>
      </c>
      <c r="C69" s="6" t="s">
        <v>393</v>
      </c>
      <c r="D69" s="6" t="n">
        <v>6</v>
      </c>
    </row>
    <row r="70" customFormat="false" ht="30" hidden="false" customHeight="true" outlineLevel="0" collapsed="false">
      <c r="A70" s="6" t="s">
        <v>394</v>
      </c>
      <c r="B70" s="6" t="s">
        <v>395</v>
      </c>
      <c r="C70" s="23" t="s">
        <v>238</v>
      </c>
      <c r="D70" s="6" t="n">
        <v>11</v>
      </c>
    </row>
    <row r="71" customFormat="false" ht="30" hidden="false" customHeight="true" outlineLevel="0" collapsed="false">
      <c r="A71" s="6" t="s">
        <v>396</v>
      </c>
      <c r="B71" s="6" t="s">
        <v>397</v>
      </c>
      <c r="C71" s="6" t="s">
        <v>398</v>
      </c>
      <c r="D71" s="6" t="n">
        <v>3</v>
      </c>
    </row>
    <row r="72" customFormat="false" ht="30" hidden="false" customHeight="true" outlineLevel="0" collapsed="false">
      <c r="A72" s="6" t="s">
        <v>399</v>
      </c>
      <c r="B72" s="6" t="s">
        <v>400</v>
      </c>
      <c r="C72" s="6" t="s">
        <v>401</v>
      </c>
      <c r="D72" s="6" t="n">
        <v>10</v>
      </c>
    </row>
    <row r="73" customFormat="false" ht="30" hidden="false" customHeight="true" outlineLevel="0" collapsed="false">
      <c r="A73" s="6" t="s">
        <v>402</v>
      </c>
      <c r="B73" s="6" t="s">
        <v>403</v>
      </c>
      <c r="C73" s="23" t="s">
        <v>238</v>
      </c>
      <c r="D73" s="6" t="n">
        <v>11</v>
      </c>
    </row>
    <row r="74" customFormat="false" ht="30" hidden="false" customHeight="true" outlineLevel="0" collapsed="false">
      <c r="A74" s="6" t="s">
        <v>404</v>
      </c>
      <c r="B74" s="6" t="s">
        <v>405</v>
      </c>
      <c r="C74" s="23" t="s">
        <v>238</v>
      </c>
      <c r="D74" s="6" t="n">
        <v>15</v>
      </c>
    </row>
    <row r="75" customFormat="false" ht="30" hidden="false" customHeight="true" outlineLevel="0" collapsed="false">
      <c r="A75" s="6" t="s">
        <v>406</v>
      </c>
      <c r="B75" s="6" t="s">
        <v>407</v>
      </c>
      <c r="C75" s="23" t="s">
        <v>238</v>
      </c>
      <c r="D75" s="6" t="n">
        <v>8</v>
      </c>
    </row>
    <row r="76" customFormat="false" ht="30" hidden="false" customHeight="true" outlineLevel="0" collapsed="false">
      <c r="A76" s="6" t="s">
        <v>408</v>
      </c>
      <c r="B76" s="6" t="s">
        <v>409</v>
      </c>
      <c r="C76" s="23" t="s">
        <v>238</v>
      </c>
      <c r="D76" s="6" t="n">
        <v>14</v>
      </c>
    </row>
    <row r="77" customFormat="false" ht="30" hidden="false" customHeight="true" outlineLevel="0" collapsed="false">
      <c r="A77" s="6" t="s">
        <v>410</v>
      </c>
      <c r="B77" s="6" t="s">
        <v>411</v>
      </c>
      <c r="C77" s="23" t="s">
        <v>238</v>
      </c>
      <c r="D77" s="6" t="n">
        <v>8</v>
      </c>
    </row>
    <row r="78" customFormat="false" ht="30" hidden="false" customHeight="true" outlineLevel="0" collapsed="false">
      <c r="A78" s="6" t="s">
        <v>412</v>
      </c>
      <c r="B78" s="6" t="s">
        <v>413</v>
      </c>
      <c r="C78" s="6" t="s">
        <v>414</v>
      </c>
      <c r="D78" s="6" t="n">
        <v>1</v>
      </c>
    </row>
    <row r="79" customFormat="false" ht="30" hidden="false" customHeight="true" outlineLevel="0" collapsed="false">
      <c r="A79" s="6" t="s">
        <v>415</v>
      </c>
      <c r="B79" s="6" t="s">
        <v>416</v>
      </c>
      <c r="C79" s="23" t="s">
        <v>238</v>
      </c>
      <c r="D79" s="6" t="n">
        <v>11</v>
      </c>
    </row>
    <row r="80" customFormat="false" ht="30" hidden="false" customHeight="true" outlineLevel="0" collapsed="false">
      <c r="A80" s="6" t="s">
        <v>417</v>
      </c>
      <c r="B80" s="6" t="s">
        <v>418</v>
      </c>
      <c r="C80" s="23" t="s">
        <v>238</v>
      </c>
      <c r="D80" s="6" t="n">
        <v>3</v>
      </c>
    </row>
    <row r="81" customFormat="false" ht="30" hidden="false" customHeight="true" outlineLevel="0" collapsed="false">
      <c r="A81" s="6" t="s">
        <v>419</v>
      </c>
      <c r="B81" s="6" t="s">
        <v>420</v>
      </c>
      <c r="C81" s="23" t="s">
        <v>238</v>
      </c>
      <c r="D81" s="6" t="n">
        <v>7</v>
      </c>
    </row>
    <row r="82" customFormat="false" ht="30" hidden="false" customHeight="true" outlineLevel="0" collapsed="false">
      <c r="A82" s="6" t="s">
        <v>421</v>
      </c>
      <c r="B82" s="6" t="s">
        <v>422</v>
      </c>
      <c r="C82" s="23" t="s">
        <v>238</v>
      </c>
      <c r="D82" s="6" t="n">
        <v>10</v>
      </c>
    </row>
    <row r="83" customFormat="false" ht="30" hidden="false" customHeight="true" outlineLevel="0" collapsed="false">
      <c r="A83" s="6" t="s">
        <v>423</v>
      </c>
      <c r="B83" s="6" t="s">
        <v>424</v>
      </c>
      <c r="C83" s="6" t="s">
        <v>425</v>
      </c>
      <c r="D83" s="6" t="n">
        <v>15</v>
      </c>
    </row>
    <row r="84" customFormat="false" ht="30" hidden="false" customHeight="true" outlineLevel="0" collapsed="false">
      <c r="A84" s="6" t="s">
        <v>426</v>
      </c>
      <c r="B84" s="6" t="s">
        <v>427</v>
      </c>
      <c r="C84" s="23" t="s">
        <v>238</v>
      </c>
      <c r="D84" s="6" t="n">
        <v>14</v>
      </c>
    </row>
    <row r="85" customFormat="false" ht="30" hidden="false" customHeight="true" outlineLevel="0" collapsed="false">
      <c r="A85" s="6" t="s">
        <v>428</v>
      </c>
      <c r="B85" s="6" t="s">
        <v>429</v>
      </c>
      <c r="C85" s="23" t="s">
        <v>238</v>
      </c>
      <c r="D85" s="6" t="n">
        <v>10</v>
      </c>
    </row>
    <row r="86" customFormat="false" ht="30" hidden="false" customHeight="true" outlineLevel="0" collapsed="false">
      <c r="A86" s="6" t="s">
        <v>430</v>
      </c>
      <c r="B86" s="6" t="s">
        <v>431</v>
      </c>
      <c r="C86" s="6" t="s">
        <v>432</v>
      </c>
      <c r="D86" s="6" t="n">
        <v>1</v>
      </c>
    </row>
    <row r="87" customFormat="false" ht="30" hidden="false" customHeight="true" outlineLevel="0" collapsed="false">
      <c r="A87" s="6" t="s">
        <v>433</v>
      </c>
      <c r="B87" s="6" t="s">
        <v>434</v>
      </c>
      <c r="C87" s="23" t="s">
        <v>238</v>
      </c>
      <c r="D87" s="6" t="n">
        <v>11</v>
      </c>
    </row>
    <row r="88" customFormat="false" ht="30" hidden="false" customHeight="true" outlineLevel="0" collapsed="false">
      <c r="A88" s="6" t="s">
        <v>435</v>
      </c>
      <c r="B88" s="6" t="s">
        <v>436</v>
      </c>
      <c r="C88" s="6" t="s">
        <v>437</v>
      </c>
      <c r="D88" s="6" t="n">
        <v>6</v>
      </c>
    </row>
    <row r="89" customFormat="false" ht="30" hidden="false" customHeight="true" outlineLevel="0" collapsed="false">
      <c r="A89" s="6" t="s">
        <v>438</v>
      </c>
      <c r="B89" s="6" t="s">
        <v>439</v>
      </c>
      <c r="C89" s="23" t="s">
        <v>238</v>
      </c>
      <c r="D89" s="6" t="n">
        <v>11</v>
      </c>
    </row>
    <row r="90" customFormat="false" ht="30" hidden="false" customHeight="true" outlineLevel="0" collapsed="false">
      <c r="A90" s="6" t="s">
        <v>440</v>
      </c>
      <c r="B90" s="6" t="s">
        <v>441</v>
      </c>
      <c r="C90" s="23" t="s">
        <v>238</v>
      </c>
      <c r="D90" s="6" t="n">
        <v>12</v>
      </c>
    </row>
    <row r="91" customFormat="false" ht="30" hidden="false" customHeight="true" outlineLevel="0" collapsed="false">
      <c r="A91" s="6" t="s">
        <v>442</v>
      </c>
      <c r="B91" s="6" t="s">
        <v>443</v>
      </c>
      <c r="C91" s="23" t="s">
        <v>238</v>
      </c>
      <c r="D91" s="6" t="n">
        <v>6</v>
      </c>
    </row>
    <row r="92" customFormat="false" ht="30" hidden="false" customHeight="true" outlineLevel="0" collapsed="false">
      <c r="A92" s="6" t="s">
        <v>444</v>
      </c>
      <c r="B92" s="6" t="s">
        <v>445</v>
      </c>
      <c r="C92" s="23" t="s">
        <v>238</v>
      </c>
      <c r="D92" s="6" t="n">
        <v>9</v>
      </c>
    </row>
    <row r="93" customFormat="false" ht="30" hidden="false" customHeight="true" outlineLevel="0" collapsed="false">
      <c r="A93" s="6" t="s">
        <v>446</v>
      </c>
      <c r="B93" s="6" t="s">
        <v>447</v>
      </c>
      <c r="C93" s="6" t="s">
        <v>448</v>
      </c>
      <c r="D93" s="6" t="n">
        <v>6</v>
      </c>
    </row>
    <row r="94" customFormat="false" ht="30" hidden="false" customHeight="true" outlineLevel="0" collapsed="false">
      <c r="A94" s="6" t="s">
        <v>449</v>
      </c>
      <c r="B94" s="6" t="s">
        <v>450</v>
      </c>
      <c r="C94" s="6" t="s">
        <v>451</v>
      </c>
      <c r="D94" s="6" t="n">
        <v>3</v>
      </c>
    </row>
    <row r="95" customFormat="false" ht="30" hidden="false" customHeight="true" outlineLevel="0" collapsed="false">
      <c r="A95" s="6" t="s">
        <v>452</v>
      </c>
      <c r="B95" s="6" t="s">
        <v>453</v>
      </c>
      <c r="C95" s="23" t="s">
        <v>238</v>
      </c>
      <c r="D95" s="6" t="n">
        <v>11</v>
      </c>
    </row>
    <row r="96" customFormat="false" ht="30" hidden="false" customHeight="true" outlineLevel="0" collapsed="false">
      <c r="A96" s="6" t="s">
        <v>454</v>
      </c>
      <c r="B96" s="6" t="s">
        <v>455</v>
      </c>
      <c r="C96" s="23" t="s">
        <v>238</v>
      </c>
      <c r="D96" s="6" t="n">
        <v>6</v>
      </c>
    </row>
    <row r="98" customFormat="false" ht="15" hidden="false" customHeight="false" outlineLevel="0" collapsed="false">
      <c r="A98" s="19" t="s">
        <v>456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00"/>
  </cols>
  <sheetData>
    <row r="1" customFormat="false" ht="24" hidden="false" customHeight="true" outlineLevel="0" collapsed="false">
      <c r="A1" s="2" t="s">
        <v>457</v>
      </c>
      <c r="B1" s="2"/>
    </row>
    <row r="2" customFormat="false" ht="15.75" hidden="false" customHeight="true" outlineLevel="0" collapsed="false">
      <c r="A2" s="3" t="s">
        <v>458</v>
      </c>
      <c r="B2" s="3"/>
    </row>
    <row r="4" customFormat="false" ht="30" hidden="false" customHeight="true" outlineLevel="0" collapsed="false">
      <c r="A4" s="4" t="s">
        <v>459</v>
      </c>
      <c r="B4" s="4" t="s">
        <v>460</v>
      </c>
    </row>
    <row r="5" customFormat="false" ht="57.75" hidden="false" customHeight="true" outlineLevel="0" collapsed="false">
      <c r="A5" s="6" t="s">
        <v>461</v>
      </c>
      <c r="B5" s="6" t="s">
        <v>462</v>
      </c>
    </row>
    <row r="6" customFormat="false" ht="57.75" hidden="false" customHeight="true" outlineLevel="0" collapsed="false">
      <c r="A6" s="6" t="s">
        <v>463</v>
      </c>
      <c r="B6" s="6" t="s">
        <v>464</v>
      </c>
    </row>
    <row r="7" customFormat="false" ht="57.75" hidden="false" customHeight="true" outlineLevel="0" collapsed="false">
      <c r="A7" s="6" t="s">
        <v>465</v>
      </c>
      <c r="B7" s="6" t="s">
        <v>466</v>
      </c>
    </row>
    <row r="8" customFormat="false" ht="57.75" hidden="false" customHeight="true" outlineLevel="0" collapsed="false">
      <c r="A8" s="6" t="s">
        <v>467</v>
      </c>
      <c r="B8" s="6" t="s">
        <v>468</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2026-09-15T01:56:12Z</dcterms:created>
  <dc:creator>openpyxl</dc:creator>
  <dc:description/>
  <dc:language>en-US</dc:language>
  <cp:lastModifiedBy/>
  <dcterms:modified xsi:type="dcterms:W3CDTF">2026-09-15T01:56:12Z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