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KITARA BANK - KAMPALA ROAD BRANCH - MONTHLY REPORT SEPTEMBER 2026</t>
        </is>
      </c>
    </row>
    <row r="2">
      <c r="A2" t="inlineStr">
        <is>
          <t>Prepared by: Operations Officer</t>
        </is>
      </c>
      <c r="E2" t="inlineStr">
        <is>
          <t>Date:</t>
        </is>
      </c>
      <c r="F2" t="inlineStr">
        <is>
          <t>2026-10-02</t>
        </is>
      </c>
    </row>
    <row r="4">
      <c r="A4" s="2" t="inlineStr">
        <is>
          <t>Product</t>
        </is>
      </c>
      <c r="B4" s="2" t="inlineStr">
        <is>
          <t>New accounts</t>
        </is>
      </c>
      <c r="C4" s="2" t="inlineStr">
        <is>
          <t>Closed</t>
        </is>
      </c>
      <c r="D4" s="2" t="inlineStr">
        <is>
          <t>Deposits mobilised (UGX)</t>
        </is>
      </c>
      <c r="E4" s="2" t="inlineStr">
        <is>
          <t>Loans disbursed (UGX)</t>
        </is>
      </c>
      <c r="F4" s="2" t="inlineStr">
        <is>
          <t>Remarks</t>
        </is>
      </c>
    </row>
    <row r="5">
      <c r="A5" t="inlineStr">
        <is>
          <t>Savings</t>
        </is>
      </c>
      <c r="B5" t="n">
        <v>42</v>
      </c>
      <c r="C5" t="n">
        <v>2</v>
      </c>
      <c r="D5" t="n">
        <v>388000000</v>
      </c>
      <c r="E5" t="n">
        <v>0</v>
      </c>
    </row>
    <row r="6">
      <c r="A6" t="inlineStr">
        <is>
          <t>Current</t>
        </is>
      </c>
      <c r="B6" t="n">
        <v>123</v>
      </c>
      <c r="C6" t="n">
        <v>8</v>
      </c>
      <c r="D6" t="n">
        <v>84000000</v>
      </c>
      <c r="E6" t="n">
        <v>0</v>
      </c>
    </row>
    <row r="7">
      <c r="A7" t="inlineStr">
        <is>
          <t>Salary</t>
        </is>
      </c>
      <c r="B7" t="n">
        <v>55</v>
      </c>
      <c r="C7" t="n">
        <v>1</v>
      </c>
      <c r="D7" t="n">
        <v>376000000</v>
      </c>
      <c r="E7" t="n">
        <v>0</v>
      </c>
    </row>
    <row r="8">
      <c r="A8" t="inlineStr">
        <is>
          <t>Student</t>
        </is>
      </c>
      <c r="B8" t="n">
        <v>123</v>
      </c>
      <c r="C8" t="n">
        <v>10</v>
      </c>
      <c r="D8" t="n">
        <v>63000000</v>
      </c>
      <c r="E8" t="n">
        <v>0</v>
      </c>
    </row>
    <row r="9">
      <c r="A9" t="inlineStr">
        <is>
          <t>SUB-TOTAL (first four)</t>
        </is>
      </c>
      <c r="B9">
        <f>SUM(B5:B8)</f>
        <v/>
      </c>
      <c r="D9">
        <f>SUM(D5:D8)</f>
        <v/>
      </c>
    </row>
    <row r="10">
      <c r="A10" t="inlineStr">
        <is>
          <t>Group savings</t>
        </is>
      </c>
      <c r="B10" t="n">
        <v>98</v>
      </c>
      <c r="C10" t="n">
        <v>5</v>
      </c>
      <c r="D10" t="n">
        <v>200000000</v>
      </c>
      <c r="E10" t="n">
        <v>0</v>
      </c>
    </row>
    <row r="11">
      <c r="A11" t="inlineStr">
        <is>
          <t>School fees loan</t>
        </is>
      </c>
      <c r="B11" t="n">
        <v>64</v>
      </c>
      <c r="C11" t="n">
        <v>9</v>
      </c>
      <c r="D11" t="n">
        <v>242000000</v>
      </c>
      <c r="E11" t="n">
        <v>6000000</v>
      </c>
    </row>
    <row r="12">
      <c r="A12" t="inlineStr">
        <is>
          <t>SME loan</t>
        </is>
      </c>
      <c r="B12" t="n">
        <v>65</v>
      </c>
      <c r="C12" t="n">
        <v>2</v>
      </c>
      <c r="D12" t="n">
        <v>386000000</v>
      </c>
      <c r="E12" t="n">
        <v>68000000</v>
      </c>
    </row>
    <row r="14">
      <c r="A14" t="inlineStr">
        <is>
          <t>TOTAL</t>
        </is>
      </c>
      <c r="B14">
        <f>SUM(B5:B12)-B9</f>
        <v/>
      </c>
      <c r="D14">
        <f>SUM(D5:D12)-D9</f>
        <v/>
      </c>
    </row>
    <row r="16">
      <c r="A16" t="inlineStr">
        <is>
          <t>Note: figures for school fees loan include Sept 28-30 estimates.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