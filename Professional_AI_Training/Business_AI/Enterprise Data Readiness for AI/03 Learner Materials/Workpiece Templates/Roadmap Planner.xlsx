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oad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;-0.0;"/>
    <numFmt numFmtId="166" formatCode="0.0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1"/>
    </font>
    <font>
      <name val="Calibri"/>
      <i val="1"/>
      <color rgb="00595959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FFF8E5"/>
      </patternFill>
    </fill>
  </fills>
  <borders count="4">
    <border>
      <left/>
      <right/>
      <top/>
      <bottom/>
      <diagonal/>
    </border>
    <border>
      <bottom style="thin">
        <color rgb="00404040"/>
      </bottom>
    </border>
    <border>
      <bottom style="hair">
        <color rgb="00808080"/>
      </bottom>
    </border>
    <border>
      <top style="thin">
        <color rgb="00404040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164" fontId="2" fillId="2" borderId="0" pivotButton="0" quotePrefix="0" xfId="0"/>
    <xf numFmtId="0" fontId="4" fillId="0" borderId="1" applyAlignment="1" pivotButton="0" quotePrefix="0" xfId="0">
      <alignment vertical="bottom" wrapText="1"/>
    </xf>
    <xf numFmtId="0" fontId="4" fillId="0" borderId="1" applyAlignment="1" pivotButton="0" quotePrefix="0" xfId="0">
      <alignment horizontal="right" vertical="bottom" wrapText="1"/>
    </xf>
    <xf numFmtId="0" fontId="2" fillId="0" borderId="2" pivotButton="0" quotePrefix="0" xfId="0"/>
    <xf numFmtId="0" fontId="2" fillId="2" borderId="2" applyAlignment="1" pivotButton="0" quotePrefix="0" xfId="0">
      <alignment vertical="top" wrapText="1"/>
    </xf>
    <xf numFmtId="2" fontId="2" fillId="0" borderId="2" pivotButton="0" quotePrefix="0" xfId="0"/>
    <xf numFmtId="165" fontId="2" fillId="0" borderId="2" pivotButton="0" quotePrefix="0" xfId="0"/>
    <xf numFmtId="166" fontId="4" fillId="0" borderId="3" pivotButton="0" quotePrefix="0" xfId="0"/>
    <xf numFmtId="1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8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Roadmap Planner</t>
        </is>
      </c>
    </row>
    <row r="3">
      <c r="A3" s="2" t="inlineStr">
        <is>
          <t>List up to 20 work items. For each give effort in person-days, value from 1 to 5, a start month from 1 to 12 and a duration in months.</t>
        </is>
      </c>
    </row>
    <row r="4">
      <c r="A4" s="2" t="inlineStr">
        <is>
          <t>Effort is spread evenly over the duration. The total effort per month appears under the table so you can see where the plan is overloaded.</t>
        </is>
      </c>
    </row>
    <row r="5">
      <c r="A5" s="2" t="inlineStr">
        <is>
          <t>Use Depends on to name the id of an item that must finish first. The check column warns when an item starts before its dependency ends.</t>
        </is>
      </c>
    </row>
    <row r="6">
      <c r="A6" s="2" t="inlineStr">
        <is>
          <t>Priority is value divided by effort in person-days times 10. Use it to choose between quick wins, not to override a dependency.</t>
        </is>
      </c>
    </row>
    <row r="7"/>
    <row r="8">
      <c r="A8" s="3" t="inlineStr">
        <is>
          <t>Cells with a light cream tint are for your input. All other cells are formulas or fixed text.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2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8" customWidth="1" min="2" max="2"/>
    <col width="30" customWidth="1" min="3" max="3"/>
    <col width="20" customWidth="1" min="4" max="4"/>
    <col width="12" customWidth="1" min="5" max="5"/>
    <col width="9" customWidth="1" min="6" max="6"/>
    <col width="12" customWidth="1" min="7" max="7"/>
    <col width="12" customWidth="1" min="8" max="8"/>
    <col width="12" customWidth="1" min="9" max="9"/>
    <col width="26" customWidth="1" min="10" max="10"/>
    <col width="10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>
      <c r="A1" s="1" t="inlineStr">
        <is>
          <t>Roadmap Planner (12 months)</t>
        </is>
      </c>
    </row>
    <row r="2">
      <c r="A2" s="4" t="inlineStr">
        <is>
          <t>Plan starts</t>
        </is>
      </c>
      <c r="B2" s="5" t="n"/>
    </row>
    <row r="4">
      <c r="A4" s="6" t="inlineStr">
        <is>
          <t>Id</t>
        </is>
      </c>
      <c r="B4" s="6" t="inlineStr">
        <is>
          <t>Work item</t>
        </is>
      </c>
      <c r="C4" s="6" t="inlineStr">
        <is>
          <t>Dimension</t>
        </is>
      </c>
      <c r="D4" s="6" t="inlineStr">
        <is>
          <t>Owner (role)</t>
        </is>
      </c>
      <c r="E4" s="6" t="inlineStr">
        <is>
          <t>Effort (person-days)</t>
        </is>
      </c>
      <c r="F4" s="6" t="inlineStr">
        <is>
          <t>Value (1-5)</t>
        </is>
      </c>
      <c r="G4" s="6" t="inlineStr">
        <is>
          <t>Depends on (id)</t>
        </is>
      </c>
      <c r="H4" s="6" t="inlineStr">
        <is>
          <t>Start month (1-12)</t>
        </is>
      </c>
      <c r="I4" s="6" t="inlineStr">
        <is>
          <t>Duration (months)</t>
        </is>
      </c>
      <c r="J4" s="6" t="inlineStr">
        <is>
          <t>Dependency check</t>
        </is>
      </c>
      <c r="K4" s="6" t="inlineStr">
        <is>
          <t>Priority</t>
        </is>
      </c>
      <c r="L4" s="7">
        <f>IF($B$2="","M1",TEXT(EDATE($B$2,0),"mmm yy"))</f>
        <v/>
      </c>
      <c r="M4" s="7">
        <f>IF($B$2="","M2",TEXT(EDATE($B$2,1),"mmm yy"))</f>
        <v/>
      </c>
      <c r="N4" s="7">
        <f>IF($B$2="","M3",TEXT(EDATE($B$2,2),"mmm yy"))</f>
        <v/>
      </c>
      <c r="O4" s="7">
        <f>IF($B$2="","M4",TEXT(EDATE($B$2,3),"mmm yy"))</f>
        <v/>
      </c>
      <c r="P4" s="7">
        <f>IF($B$2="","M5",TEXT(EDATE($B$2,4),"mmm yy"))</f>
        <v/>
      </c>
      <c r="Q4" s="7">
        <f>IF($B$2="","M6",TEXT(EDATE($B$2,5),"mmm yy"))</f>
        <v/>
      </c>
      <c r="R4" s="7">
        <f>IF($B$2="","M7",TEXT(EDATE($B$2,6),"mmm yy"))</f>
        <v/>
      </c>
      <c r="S4" s="7">
        <f>IF($B$2="","M8",TEXT(EDATE($B$2,7),"mmm yy"))</f>
        <v/>
      </c>
      <c r="T4" s="7">
        <f>IF($B$2="","M9",TEXT(EDATE($B$2,8),"mmm yy"))</f>
        <v/>
      </c>
      <c r="U4" s="7">
        <f>IF($B$2="","M10",TEXT(EDATE($B$2,9),"mmm yy"))</f>
        <v/>
      </c>
      <c r="V4" s="7">
        <f>IF($B$2="","M11",TEXT(EDATE($B$2,10),"mmm yy"))</f>
        <v/>
      </c>
      <c r="W4" s="7">
        <f>IF($B$2="","M12",TEXT(EDATE($B$2,11),"mmm yy"))</f>
        <v/>
      </c>
    </row>
    <row r="5">
      <c r="A5" s="8" t="inlineStr">
        <is>
          <t>W01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8">
        <f>IF(G5="","",IFERROR(IF(INDEX($H$5:$H$24,MATCH(G5,$A$5:$A$24,0))+INDEX($I$5:$I$24,MATCH(G5,$A$5:$A$24,0))&lt;=H5,"OK","Starts before dependency ends"),"Unknown id"))</f>
        <v/>
      </c>
      <c r="K5" s="10">
        <f>IF(OR(E5="",F5="",E5=0),"",ROUND(F5/E5*10,2))</f>
        <v/>
      </c>
      <c r="L5" s="11">
        <f>IF(OR($E5="",$H5="",$I5="",$I5=0),0,IF(AND(1&gt;=$H5,1&lt;$H5+$I5),$E5/$I5,0))</f>
        <v/>
      </c>
      <c r="M5" s="11">
        <f>IF(OR($E5="",$H5="",$I5="",$I5=0),0,IF(AND(2&gt;=$H5,2&lt;$H5+$I5),$E5/$I5,0))</f>
        <v/>
      </c>
      <c r="N5" s="11">
        <f>IF(OR($E5="",$H5="",$I5="",$I5=0),0,IF(AND(3&gt;=$H5,3&lt;$H5+$I5),$E5/$I5,0))</f>
        <v/>
      </c>
      <c r="O5" s="11">
        <f>IF(OR($E5="",$H5="",$I5="",$I5=0),0,IF(AND(4&gt;=$H5,4&lt;$H5+$I5),$E5/$I5,0))</f>
        <v/>
      </c>
      <c r="P5" s="11">
        <f>IF(OR($E5="",$H5="",$I5="",$I5=0),0,IF(AND(5&gt;=$H5,5&lt;$H5+$I5),$E5/$I5,0))</f>
        <v/>
      </c>
      <c r="Q5" s="11">
        <f>IF(OR($E5="",$H5="",$I5="",$I5=0),0,IF(AND(6&gt;=$H5,6&lt;$H5+$I5),$E5/$I5,0))</f>
        <v/>
      </c>
      <c r="R5" s="11">
        <f>IF(OR($E5="",$H5="",$I5="",$I5=0),0,IF(AND(7&gt;=$H5,7&lt;$H5+$I5),$E5/$I5,0))</f>
        <v/>
      </c>
      <c r="S5" s="11">
        <f>IF(OR($E5="",$H5="",$I5="",$I5=0),0,IF(AND(8&gt;=$H5,8&lt;$H5+$I5),$E5/$I5,0))</f>
        <v/>
      </c>
      <c r="T5" s="11">
        <f>IF(OR($E5="",$H5="",$I5="",$I5=0),0,IF(AND(9&gt;=$H5,9&lt;$H5+$I5),$E5/$I5,0))</f>
        <v/>
      </c>
      <c r="U5" s="11">
        <f>IF(OR($E5="",$H5="",$I5="",$I5=0),0,IF(AND(10&gt;=$H5,10&lt;$H5+$I5),$E5/$I5,0))</f>
        <v/>
      </c>
      <c r="V5" s="11">
        <f>IF(OR($E5="",$H5="",$I5="",$I5=0),0,IF(AND(11&gt;=$H5,11&lt;$H5+$I5),$E5/$I5,0))</f>
        <v/>
      </c>
      <c r="W5" s="11">
        <f>IF(OR($E5="",$H5="",$I5="",$I5=0),0,IF(AND(12&gt;=$H5,12&lt;$H5+$I5),$E5/$I5,0))</f>
        <v/>
      </c>
    </row>
    <row r="6">
      <c r="A6" s="8" t="inlineStr">
        <is>
          <t>W02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8">
        <f>IF(G6="","",IFERROR(IF(INDEX($H$5:$H$24,MATCH(G6,$A$5:$A$24,0))+INDEX($I$5:$I$24,MATCH(G6,$A$5:$A$24,0))&lt;=H6,"OK","Starts before dependency ends"),"Unknown id"))</f>
        <v/>
      </c>
      <c r="K6" s="10">
        <f>IF(OR(E6="",F6="",E6=0),"",ROUND(F6/E6*10,2))</f>
        <v/>
      </c>
      <c r="L6" s="11">
        <f>IF(OR($E6="",$H6="",$I6="",$I6=0),0,IF(AND(1&gt;=$H6,1&lt;$H6+$I6),$E6/$I6,0))</f>
        <v/>
      </c>
      <c r="M6" s="11">
        <f>IF(OR($E6="",$H6="",$I6="",$I6=0),0,IF(AND(2&gt;=$H6,2&lt;$H6+$I6),$E6/$I6,0))</f>
        <v/>
      </c>
      <c r="N6" s="11">
        <f>IF(OR($E6="",$H6="",$I6="",$I6=0),0,IF(AND(3&gt;=$H6,3&lt;$H6+$I6),$E6/$I6,0))</f>
        <v/>
      </c>
      <c r="O6" s="11">
        <f>IF(OR($E6="",$H6="",$I6="",$I6=0),0,IF(AND(4&gt;=$H6,4&lt;$H6+$I6),$E6/$I6,0))</f>
        <v/>
      </c>
      <c r="P6" s="11">
        <f>IF(OR($E6="",$H6="",$I6="",$I6=0),0,IF(AND(5&gt;=$H6,5&lt;$H6+$I6),$E6/$I6,0))</f>
        <v/>
      </c>
      <c r="Q6" s="11">
        <f>IF(OR($E6="",$H6="",$I6="",$I6=0),0,IF(AND(6&gt;=$H6,6&lt;$H6+$I6),$E6/$I6,0))</f>
        <v/>
      </c>
      <c r="R6" s="11">
        <f>IF(OR($E6="",$H6="",$I6="",$I6=0),0,IF(AND(7&gt;=$H6,7&lt;$H6+$I6),$E6/$I6,0))</f>
        <v/>
      </c>
      <c r="S6" s="11">
        <f>IF(OR($E6="",$H6="",$I6="",$I6=0),0,IF(AND(8&gt;=$H6,8&lt;$H6+$I6),$E6/$I6,0))</f>
        <v/>
      </c>
      <c r="T6" s="11">
        <f>IF(OR($E6="",$H6="",$I6="",$I6=0),0,IF(AND(9&gt;=$H6,9&lt;$H6+$I6),$E6/$I6,0))</f>
        <v/>
      </c>
      <c r="U6" s="11">
        <f>IF(OR($E6="",$H6="",$I6="",$I6=0),0,IF(AND(10&gt;=$H6,10&lt;$H6+$I6),$E6/$I6,0))</f>
        <v/>
      </c>
      <c r="V6" s="11">
        <f>IF(OR($E6="",$H6="",$I6="",$I6=0),0,IF(AND(11&gt;=$H6,11&lt;$H6+$I6),$E6/$I6,0))</f>
        <v/>
      </c>
      <c r="W6" s="11">
        <f>IF(OR($E6="",$H6="",$I6="",$I6=0),0,IF(AND(12&gt;=$H6,12&lt;$H6+$I6),$E6/$I6,0))</f>
        <v/>
      </c>
    </row>
    <row r="7">
      <c r="A7" s="8" t="inlineStr">
        <is>
          <t>W03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8">
        <f>IF(G7="","",IFERROR(IF(INDEX($H$5:$H$24,MATCH(G7,$A$5:$A$24,0))+INDEX($I$5:$I$24,MATCH(G7,$A$5:$A$24,0))&lt;=H7,"OK","Starts before dependency ends"),"Unknown id"))</f>
        <v/>
      </c>
      <c r="K7" s="10">
        <f>IF(OR(E7="",F7="",E7=0),"",ROUND(F7/E7*10,2))</f>
        <v/>
      </c>
      <c r="L7" s="11">
        <f>IF(OR($E7="",$H7="",$I7="",$I7=0),0,IF(AND(1&gt;=$H7,1&lt;$H7+$I7),$E7/$I7,0))</f>
        <v/>
      </c>
      <c r="M7" s="11">
        <f>IF(OR($E7="",$H7="",$I7="",$I7=0),0,IF(AND(2&gt;=$H7,2&lt;$H7+$I7),$E7/$I7,0))</f>
        <v/>
      </c>
      <c r="N7" s="11">
        <f>IF(OR($E7="",$H7="",$I7="",$I7=0),0,IF(AND(3&gt;=$H7,3&lt;$H7+$I7),$E7/$I7,0))</f>
        <v/>
      </c>
      <c r="O7" s="11">
        <f>IF(OR($E7="",$H7="",$I7="",$I7=0),0,IF(AND(4&gt;=$H7,4&lt;$H7+$I7),$E7/$I7,0))</f>
        <v/>
      </c>
      <c r="P7" s="11">
        <f>IF(OR($E7="",$H7="",$I7="",$I7=0),0,IF(AND(5&gt;=$H7,5&lt;$H7+$I7),$E7/$I7,0))</f>
        <v/>
      </c>
      <c r="Q7" s="11">
        <f>IF(OR($E7="",$H7="",$I7="",$I7=0),0,IF(AND(6&gt;=$H7,6&lt;$H7+$I7),$E7/$I7,0))</f>
        <v/>
      </c>
      <c r="R7" s="11">
        <f>IF(OR($E7="",$H7="",$I7="",$I7=0),0,IF(AND(7&gt;=$H7,7&lt;$H7+$I7),$E7/$I7,0))</f>
        <v/>
      </c>
      <c r="S7" s="11">
        <f>IF(OR($E7="",$H7="",$I7="",$I7=0),0,IF(AND(8&gt;=$H7,8&lt;$H7+$I7),$E7/$I7,0))</f>
        <v/>
      </c>
      <c r="T7" s="11">
        <f>IF(OR($E7="",$H7="",$I7="",$I7=0),0,IF(AND(9&gt;=$H7,9&lt;$H7+$I7),$E7/$I7,0))</f>
        <v/>
      </c>
      <c r="U7" s="11">
        <f>IF(OR($E7="",$H7="",$I7="",$I7=0),0,IF(AND(10&gt;=$H7,10&lt;$H7+$I7),$E7/$I7,0))</f>
        <v/>
      </c>
      <c r="V7" s="11">
        <f>IF(OR($E7="",$H7="",$I7="",$I7=0),0,IF(AND(11&gt;=$H7,11&lt;$H7+$I7),$E7/$I7,0))</f>
        <v/>
      </c>
      <c r="W7" s="11">
        <f>IF(OR($E7="",$H7="",$I7="",$I7=0),0,IF(AND(12&gt;=$H7,12&lt;$H7+$I7),$E7/$I7,0))</f>
        <v/>
      </c>
    </row>
    <row r="8">
      <c r="A8" s="8" t="inlineStr">
        <is>
          <t>W04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8">
        <f>IF(G8="","",IFERROR(IF(INDEX($H$5:$H$24,MATCH(G8,$A$5:$A$24,0))+INDEX($I$5:$I$24,MATCH(G8,$A$5:$A$24,0))&lt;=H8,"OK","Starts before dependency ends"),"Unknown id"))</f>
        <v/>
      </c>
      <c r="K8" s="10">
        <f>IF(OR(E8="",F8="",E8=0),"",ROUND(F8/E8*10,2))</f>
        <v/>
      </c>
      <c r="L8" s="11">
        <f>IF(OR($E8="",$H8="",$I8="",$I8=0),0,IF(AND(1&gt;=$H8,1&lt;$H8+$I8),$E8/$I8,0))</f>
        <v/>
      </c>
      <c r="M8" s="11">
        <f>IF(OR($E8="",$H8="",$I8="",$I8=0),0,IF(AND(2&gt;=$H8,2&lt;$H8+$I8),$E8/$I8,0))</f>
        <v/>
      </c>
      <c r="N8" s="11">
        <f>IF(OR($E8="",$H8="",$I8="",$I8=0),0,IF(AND(3&gt;=$H8,3&lt;$H8+$I8),$E8/$I8,0))</f>
        <v/>
      </c>
      <c r="O8" s="11">
        <f>IF(OR($E8="",$H8="",$I8="",$I8=0),0,IF(AND(4&gt;=$H8,4&lt;$H8+$I8),$E8/$I8,0))</f>
        <v/>
      </c>
      <c r="P8" s="11">
        <f>IF(OR($E8="",$H8="",$I8="",$I8=0),0,IF(AND(5&gt;=$H8,5&lt;$H8+$I8),$E8/$I8,0))</f>
        <v/>
      </c>
      <c r="Q8" s="11">
        <f>IF(OR($E8="",$H8="",$I8="",$I8=0),0,IF(AND(6&gt;=$H8,6&lt;$H8+$I8),$E8/$I8,0))</f>
        <v/>
      </c>
      <c r="R8" s="11">
        <f>IF(OR($E8="",$H8="",$I8="",$I8=0),0,IF(AND(7&gt;=$H8,7&lt;$H8+$I8),$E8/$I8,0))</f>
        <v/>
      </c>
      <c r="S8" s="11">
        <f>IF(OR($E8="",$H8="",$I8="",$I8=0),0,IF(AND(8&gt;=$H8,8&lt;$H8+$I8),$E8/$I8,0))</f>
        <v/>
      </c>
      <c r="T8" s="11">
        <f>IF(OR($E8="",$H8="",$I8="",$I8=0),0,IF(AND(9&gt;=$H8,9&lt;$H8+$I8),$E8/$I8,0))</f>
        <v/>
      </c>
      <c r="U8" s="11">
        <f>IF(OR($E8="",$H8="",$I8="",$I8=0),0,IF(AND(10&gt;=$H8,10&lt;$H8+$I8),$E8/$I8,0))</f>
        <v/>
      </c>
      <c r="V8" s="11">
        <f>IF(OR($E8="",$H8="",$I8="",$I8=0),0,IF(AND(11&gt;=$H8,11&lt;$H8+$I8),$E8/$I8,0))</f>
        <v/>
      </c>
      <c r="W8" s="11">
        <f>IF(OR($E8="",$H8="",$I8="",$I8=0),0,IF(AND(12&gt;=$H8,12&lt;$H8+$I8),$E8/$I8,0))</f>
        <v/>
      </c>
    </row>
    <row r="9">
      <c r="A9" s="8" t="inlineStr">
        <is>
          <t>W05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8">
        <f>IF(G9="","",IFERROR(IF(INDEX($H$5:$H$24,MATCH(G9,$A$5:$A$24,0))+INDEX($I$5:$I$24,MATCH(G9,$A$5:$A$24,0))&lt;=H9,"OK","Starts before dependency ends"),"Unknown id"))</f>
        <v/>
      </c>
      <c r="K9" s="10">
        <f>IF(OR(E9="",F9="",E9=0),"",ROUND(F9/E9*10,2))</f>
        <v/>
      </c>
      <c r="L9" s="11">
        <f>IF(OR($E9="",$H9="",$I9="",$I9=0),0,IF(AND(1&gt;=$H9,1&lt;$H9+$I9),$E9/$I9,0))</f>
        <v/>
      </c>
      <c r="M9" s="11">
        <f>IF(OR($E9="",$H9="",$I9="",$I9=0),0,IF(AND(2&gt;=$H9,2&lt;$H9+$I9),$E9/$I9,0))</f>
        <v/>
      </c>
      <c r="N9" s="11">
        <f>IF(OR($E9="",$H9="",$I9="",$I9=0),0,IF(AND(3&gt;=$H9,3&lt;$H9+$I9),$E9/$I9,0))</f>
        <v/>
      </c>
      <c r="O9" s="11">
        <f>IF(OR($E9="",$H9="",$I9="",$I9=0),0,IF(AND(4&gt;=$H9,4&lt;$H9+$I9),$E9/$I9,0))</f>
        <v/>
      </c>
      <c r="P9" s="11">
        <f>IF(OR($E9="",$H9="",$I9="",$I9=0),0,IF(AND(5&gt;=$H9,5&lt;$H9+$I9),$E9/$I9,0))</f>
        <v/>
      </c>
      <c r="Q9" s="11">
        <f>IF(OR($E9="",$H9="",$I9="",$I9=0),0,IF(AND(6&gt;=$H9,6&lt;$H9+$I9),$E9/$I9,0))</f>
        <v/>
      </c>
      <c r="R9" s="11">
        <f>IF(OR($E9="",$H9="",$I9="",$I9=0),0,IF(AND(7&gt;=$H9,7&lt;$H9+$I9),$E9/$I9,0))</f>
        <v/>
      </c>
      <c r="S9" s="11">
        <f>IF(OR($E9="",$H9="",$I9="",$I9=0),0,IF(AND(8&gt;=$H9,8&lt;$H9+$I9),$E9/$I9,0))</f>
        <v/>
      </c>
      <c r="T9" s="11">
        <f>IF(OR($E9="",$H9="",$I9="",$I9=0),0,IF(AND(9&gt;=$H9,9&lt;$H9+$I9),$E9/$I9,0))</f>
        <v/>
      </c>
      <c r="U9" s="11">
        <f>IF(OR($E9="",$H9="",$I9="",$I9=0),0,IF(AND(10&gt;=$H9,10&lt;$H9+$I9),$E9/$I9,0))</f>
        <v/>
      </c>
      <c r="V9" s="11">
        <f>IF(OR($E9="",$H9="",$I9="",$I9=0),0,IF(AND(11&gt;=$H9,11&lt;$H9+$I9),$E9/$I9,0))</f>
        <v/>
      </c>
      <c r="W9" s="11">
        <f>IF(OR($E9="",$H9="",$I9="",$I9=0),0,IF(AND(12&gt;=$H9,12&lt;$H9+$I9),$E9/$I9,0))</f>
        <v/>
      </c>
    </row>
    <row r="10">
      <c r="A10" s="8" t="inlineStr">
        <is>
          <t>W06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8">
        <f>IF(G10="","",IFERROR(IF(INDEX($H$5:$H$24,MATCH(G10,$A$5:$A$24,0))+INDEX($I$5:$I$24,MATCH(G10,$A$5:$A$24,0))&lt;=H10,"OK","Starts before dependency ends"),"Unknown id"))</f>
        <v/>
      </c>
      <c r="K10" s="10">
        <f>IF(OR(E10="",F10="",E10=0),"",ROUND(F10/E10*10,2))</f>
        <v/>
      </c>
      <c r="L10" s="11">
        <f>IF(OR($E10="",$H10="",$I10="",$I10=0),0,IF(AND(1&gt;=$H10,1&lt;$H10+$I10),$E10/$I10,0))</f>
        <v/>
      </c>
      <c r="M10" s="11">
        <f>IF(OR($E10="",$H10="",$I10="",$I10=0),0,IF(AND(2&gt;=$H10,2&lt;$H10+$I10),$E10/$I10,0))</f>
        <v/>
      </c>
      <c r="N10" s="11">
        <f>IF(OR($E10="",$H10="",$I10="",$I10=0),0,IF(AND(3&gt;=$H10,3&lt;$H10+$I10),$E10/$I10,0))</f>
        <v/>
      </c>
      <c r="O10" s="11">
        <f>IF(OR($E10="",$H10="",$I10="",$I10=0),0,IF(AND(4&gt;=$H10,4&lt;$H10+$I10),$E10/$I10,0))</f>
        <v/>
      </c>
      <c r="P10" s="11">
        <f>IF(OR($E10="",$H10="",$I10="",$I10=0),0,IF(AND(5&gt;=$H10,5&lt;$H10+$I10),$E10/$I10,0))</f>
        <v/>
      </c>
      <c r="Q10" s="11">
        <f>IF(OR($E10="",$H10="",$I10="",$I10=0),0,IF(AND(6&gt;=$H10,6&lt;$H10+$I10),$E10/$I10,0))</f>
        <v/>
      </c>
      <c r="R10" s="11">
        <f>IF(OR($E10="",$H10="",$I10="",$I10=0),0,IF(AND(7&gt;=$H10,7&lt;$H10+$I10),$E10/$I10,0))</f>
        <v/>
      </c>
      <c r="S10" s="11">
        <f>IF(OR($E10="",$H10="",$I10="",$I10=0),0,IF(AND(8&gt;=$H10,8&lt;$H10+$I10),$E10/$I10,0))</f>
        <v/>
      </c>
      <c r="T10" s="11">
        <f>IF(OR($E10="",$H10="",$I10="",$I10=0),0,IF(AND(9&gt;=$H10,9&lt;$H10+$I10),$E10/$I10,0))</f>
        <v/>
      </c>
      <c r="U10" s="11">
        <f>IF(OR($E10="",$H10="",$I10="",$I10=0),0,IF(AND(10&gt;=$H10,10&lt;$H10+$I10),$E10/$I10,0))</f>
        <v/>
      </c>
      <c r="V10" s="11">
        <f>IF(OR($E10="",$H10="",$I10="",$I10=0),0,IF(AND(11&gt;=$H10,11&lt;$H10+$I10),$E10/$I10,0))</f>
        <v/>
      </c>
      <c r="W10" s="11">
        <f>IF(OR($E10="",$H10="",$I10="",$I10=0),0,IF(AND(12&gt;=$H10,12&lt;$H10+$I10),$E10/$I10,0))</f>
        <v/>
      </c>
    </row>
    <row r="11">
      <c r="A11" s="8" t="inlineStr">
        <is>
          <t>W07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8">
        <f>IF(G11="","",IFERROR(IF(INDEX($H$5:$H$24,MATCH(G11,$A$5:$A$24,0))+INDEX($I$5:$I$24,MATCH(G11,$A$5:$A$24,0))&lt;=H11,"OK","Starts before dependency ends"),"Unknown id"))</f>
        <v/>
      </c>
      <c r="K11" s="10">
        <f>IF(OR(E11="",F11="",E11=0),"",ROUND(F11/E11*10,2))</f>
        <v/>
      </c>
      <c r="L11" s="11">
        <f>IF(OR($E11="",$H11="",$I11="",$I11=0),0,IF(AND(1&gt;=$H11,1&lt;$H11+$I11),$E11/$I11,0))</f>
        <v/>
      </c>
      <c r="M11" s="11">
        <f>IF(OR($E11="",$H11="",$I11="",$I11=0),0,IF(AND(2&gt;=$H11,2&lt;$H11+$I11),$E11/$I11,0))</f>
        <v/>
      </c>
      <c r="N11" s="11">
        <f>IF(OR($E11="",$H11="",$I11="",$I11=0),0,IF(AND(3&gt;=$H11,3&lt;$H11+$I11),$E11/$I11,0))</f>
        <v/>
      </c>
      <c r="O11" s="11">
        <f>IF(OR($E11="",$H11="",$I11="",$I11=0),0,IF(AND(4&gt;=$H11,4&lt;$H11+$I11),$E11/$I11,0))</f>
        <v/>
      </c>
      <c r="P11" s="11">
        <f>IF(OR($E11="",$H11="",$I11="",$I11=0),0,IF(AND(5&gt;=$H11,5&lt;$H11+$I11),$E11/$I11,0))</f>
        <v/>
      </c>
      <c r="Q11" s="11">
        <f>IF(OR($E11="",$H11="",$I11="",$I11=0),0,IF(AND(6&gt;=$H11,6&lt;$H11+$I11),$E11/$I11,0))</f>
        <v/>
      </c>
      <c r="R11" s="11">
        <f>IF(OR($E11="",$H11="",$I11="",$I11=0),0,IF(AND(7&gt;=$H11,7&lt;$H11+$I11),$E11/$I11,0))</f>
        <v/>
      </c>
      <c r="S11" s="11">
        <f>IF(OR($E11="",$H11="",$I11="",$I11=0),0,IF(AND(8&gt;=$H11,8&lt;$H11+$I11),$E11/$I11,0))</f>
        <v/>
      </c>
      <c r="T11" s="11">
        <f>IF(OR($E11="",$H11="",$I11="",$I11=0),0,IF(AND(9&gt;=$H11,9&lt;$H11+$I11),$E11/$I11,0))</f>
        <v/>
      </c>
      <c r="U11" s="11">
        <f>IF(OR($E11="",$H11="",$I11="",$I11=0),0,IF(AND(10&gt;=$H11,10&lt;$H11+$I11),$E11/$I11,0))</f>
        <v/>
      </c>
      <c r="V11" s="11">
        <f>IF(OR($E11="",$H11="",$I11="",$I11=0),0,IF(AND(11&gt;=$H11,11&lt;$H11+$I11),$E11/$I11,0))</f>
        <v/>
      </c>
      <c r="W11" s="11">
        <f>IF(OR($E11="",$H11="",$I11="",$I11=0),0,IF(AND(12&gt;=$H11,12&lt;$H11+$I11),$E11/$I11,0))</f>
        <v/>
      </c>
    </row>
    <row r="12">
      <c r="A12" s="8" t="inlineStr">
        <is>
          <t>W08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8">
        <f>IF(G12="","",IFERROR(IF(INDEX($H$5:$H$24,MATCH(G12,$A$5:$A$24,0))+INDEX($I$5:$I$24,MATCH(G12,$A$5:$A$24,0))&lt;=H12,"OK","Starts before dependency ends"),"Unknown id"))</f>
        <v/>
      </c>
      <c r="K12" s="10">
        <f>IF(OR(E12="",F12="",E12=0),"",ROUND(F12/E12*10,2))</f>
        <v/>
      </c>
      <c r="L12" s="11">
        <f>IF(OR($E12="",$H12="",$I12="",$I12=0),0,IF(AND(1&gt;=$H12,1&lt;$H12+$I12),$E12/$I12,0))</f>
        <v/>
      </c>
      <c r="M12" s="11">
        <f>IF(OR($E12="",$H12="",$I12="",$I12=0),0,IF(AND(2&gt;=$H12,2&lt;$H12+$I12),$E12/$I12,0))</f>
        <v/>
      </c>
      <c r="N12" s="11">
        <f>IF(OR($E12="",$H12="",$I12="",$I12=0),0,IF(AND(3&gt;=$H12,3&lt;$H12+$I12),$E12/$I12,0))</f>
        <v/>
      </c>
      <c r="O12" s="11">
        <f>IF(OR($E12="",$H12="",$I12="",$I12=0),0,IF(AND(4&gt;=$H12,4&lt;$H12+$I12),$E12/$I12,0))</f>
        <v/>
      </c>
      <c r="P12" s="11">
        <f>IF(OR($E12="",$H12="",$I12="",$I12=0),0,IF(AND(5&gt;=$H12,5&lt;$H12+$I12),$E12/$I12,0))</f>
        <v/>
      </c>
      <c r="Q12" s="11">
        <f>IF(OR($E12="",$H12="",$I12="",$I12=0),0,IF(AND(6&gt;=$H12,6&lt;$H12+$I12),$E12/$I12,0))</f>
        <v/>
      </c>
      <c r="R12" s="11">
        <f>IF(OR($E12="",$H12="",$I12="",$I12=0),0,IF(AND(7&gt;=$H12,7&lt;$H12+$I12),$E12/$I12,0))</f>
        <v/>
      </c>
      <c r="S12" s="11">
        <f>IF(OR($E12="",$H12="",$I12="",$I12=0),0,IF(AND(8&gt;=$H12,8&lt;$H12+$I12),$E12/$I12,0))</f>
        <v/>
      </c>
      <c r="T12" s="11">
        <f>IF(OR($E12="",$H12="",$I12="",$I12=0),0,IF(AND(9&gt;=$H12,9&lt;$H12+$I12),$E12/$I12,0))</f>
        <v/>
      </c>
      <c r="U12" s="11">
        <f>IF(OR($E12="",$H12="",$I12="",$I12=0),0,IF(AND(10&gt;=$H12,10&lt;$H12+$I12),$E12/$I12,0))</f>
        <v/>
      </c>
      <c r="V12" s="11">
        <f>IF(OR($E12="",$H12="",$I12="",$I12=0),0,IF(AND(11&gt;=$H12,11&lt;$H12+$I12),$E12/$I12,0))</f>
        <v/>
      </c>
      <c r="W12" s="11">
        <f>IF(OR($E12="",$H12="",$I12="",$I12=0),0,IF(AND(12&gt;=$H12,12&lt;$H12+$I12),$E12/$I12,0))</f>
        <v/>
      </c>
    </row>
    <row r="13">
      <c r="A13" s="8" t="inlineStr">
        <is>
          <t>W09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8">
        <f>IF(G13="","",IFERROR(IF(INDEX($H$5:$H$24,MATCH(G13,$A$5:$A$24,0))+INDEX($I$5:$I$24,MATCH(G13,$A$5:$A$24,0))&lt;=H13,"OK","Starts before dependency ends"),"Unknown id"))</f>
        <v/>
      </c>
      <c r="K13" s="10">
        <f>IF(OR(E13="",F13="",E13=0),"",ROUND(F13/E13*10,2))</f>
        <v/>
      </c>
      <c r="L13" s="11">
        <f>IF(OR($E13="",$H13="",$I13="",$I13=0),0,IF(AND(1&gt;=$H13,1&lt;$H13+$I13),$E13/$I13,0))</f>
        <v/>
      </c>
      <c r="M13" s="11">
        <f>IF(OR($E13="",$H13="",$I13="",$I13=0),0,IF(AND(2&gt;=$H13,2&lt;$H13+$I13),$E13/$I13,0))</f>
        <v/>
      </c>
      <c r="N13" s="11">
        <f>IF(OR($E13="",$H13="",$I13="",$I13=0),0,IF(AND(3&gt;=$H13,3&lt;$H13+$I13),$E13/$I13,0))</f>
        <v/>
      </c>
      <c r="O13" s="11">
        <f>IF(OR($E13="",$H13="",$I13="",$I13=0),0,IF(AND(4&gt;=$H13,4&lt;$H13+$I13),$E13/$I13,0))</f>
        <v/>
      </c>
      <c r="P13" s="11">
        <f>IF(OR($E13="",$H13="",$I13="",$I13=0),0,IF(AND(5&gt;=$H13,5&lt;$H13+$I13),$E13/$I13,0))</f>
        <v/>
      </c>
      <c r="Q13" s="11">
        <f>IF(OR($E13="",$H13="",$I13="",$I13=0),0,IF(AND(6&gt;=$H13,6&lt;$H13+$I13),$E13/$I13,0))</f>
        <v/>
      </c>
      <c r="R13" s="11">
        <f>IF(OR($E13="",$H13="",$I13="",$I13=0),0,IF(AND(7&gt;=$H13,7&lt;$H13+$I13),$E13/$I13,0))</f>
        <v/>
      </c>
      <c r="S13" s="11">
        <f>IF(OR($E13="",$H13="",$I13="",$I13=0),0,IF(AND(8&gt;=$H13,8&lt;$H13+$I13),$E13/$I13,0))</f>
        <v/>
      </c>
      <c r="T13" s="11">
        <f>IF(OR($E13="",$H13="",$I13="",$I13=0),0,IF(AND(9&gt;=$H13,9&lt;$H13+$I13),$E13/$I13,0))</f>
        <v/>
      </c>
      <c r="U13" s="11">
        <f>IF(OR($E13="",$H13="",$I13="",$I13=0),0,IF(AND(10&gt;=$H13,10&lt;$H13+$I13),$E13/$I13,0))</f>
        <v/>
      </c>
      <c r="V13" s="11">
        <f>IF(OR($E13="",$H13="",$I13="",$I13=0),0,IF(AND(11&gt;=$H13,11&lt;$H13+$I13),$E13/$I13,0))</f>
        <v/>
      </c>
      <c r="W13" s="11">
        <f>IF(OR($E13="",$H13="",$I13="",$I13=0),0,IF(AND(12&gt;=$H13,12&lt;$H13+$I13),$E13/$I13,0))</f>
        <v/>
      </c>
    </row>
    <row r="14">
      <c r="A14" s="8" t="inlineStr">
        <is>
          <t>W10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8">
        <f>IF(G14="","",IFERROR(IF(INDEX($H$5:$H$24,MATCH(G14,$A$5:$A$24,0))+INDEX($I$5:$I$24,MATCH(G14,$A$5:$A$24,0))&lt;=H14,"OK","Starts before dependency ends"),"Unknown id"))</f>
        <v/>
      </c>
      <c r="K14" s="10">
        <f>IF(OR(E14="",F14="",E14=0),"",ROUND(F14/E14*10,2))</f>
        <v/>
      </c>
      <c r="L14" s="11">
        <f>IF(OR($E14="",$H14="",$I14="",$I14=0),0,IF(AND(1&gt;=$H14,1&lt;$H14+$I14),$E14/$I14,0))</f>
        <v/>
      </c>
      <c r="M14" s="11">
        <f>IF(OR($E14="",$H14="",$I14="",$I14=0),0,IF(AND(2&gt;=$H14,2&lt;$H14+$I14),$E14/$I14,0))</f>
        <v/>
      </c>
      <c r="N14" s="11">
        <f>IF(OR($E14="",$H14="",$I14="",$I14=0),0,IF(AND(3&gt;=$H14,3&lt;$H14+$I14),$E14/$I14,0))</f>
        <v/>
      </c>
      <c r="O14" s="11">
        <f>IF(OR($E14="",$H14="",$I14="",$I14=0),0,IF(AND(4&gt;=$H14,4&lt;$H14+$I14),$E14/$I14,0))</f>
        <v/>
      </c>
      <c r="P14" s="11">
        <f>IF(OR($E14="",$H14="",$I14="",$I14=0),0,IF(AND(5&gt;=$H14,5&lt;$H14+$I14),$E14/$I14,0))</f>
        <v/>
      </c>
      <c r="Q14" s="11">
        <f>IF(OR($E14="",$H14="",$I14="",$I14=0),0,IF(AND(6&gt;=$H14,6&lt;$H14+$I14),$E14/$I14,0))</f>
        <v/>
      </c>
      <c r="R14" s="11">
        <f>IF(OR($E14="",$H14="",$I14="",$I14=0),0,IF(AND(7&gt;=$H14,7&lt;$H14+$I14),$E14/$I14,0))</f>
        <v/>
      </c>
      <c r="S14" s="11">
        <f>IF(OR($E14="",$H14="",$I14="",$I14=0),0,IF(AND(8&gt;=$H14,8&lt;$H14+$I14),$E14/$I14,0))</f>
        <v/>
      </c>
      <c r="T14" s="11">
        <f>IF(OR($E14="",$H14="",$I14="",$I14=0),0,IF(AND(9&gt;=$H14,9&lt;$H14+$I14),$E14/$I14,0))</f>
        <v/>
      </c>
      <c r="U14" s="11">
        <f>IF(OR($E14="",$H14="",$I14="",$I14=0),0,IF(AND(10&gt;=$H14,10&lt;$H14+$I14),$E14/$I14,0))</f>
        <v/>
      </c>
      <c r="V14" s="11">
        <f>IF(OR($E14="",$H14="",$I14="",$I14=0),0,IF(AND(11&gt;=$H14,11&lt;$H14+$I14),$E14/$I14,0))</f>
        <v/>
      </c>
      <c r="W14" s="11">
        <f>IF(OR($E14="",$H14="",$I14="",$I14=0),0,IF(AND(12&gt;=$H14,12&lt;$H14+$I14),$E14/$I14,0))</f>
        <v/>
      </c>
    </row>
    <row r="15">
      <c r="A15" s="8" t="inlineStr">
        <is>
          <t>W11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8">
        <f>IF(G15="","",IFERROR(IF(INDEX($H$5:$H$24,MATCH(G15,$A$5:$A$24,0))+INDEX($I$5:$I$24,MATCH(G15,$A$5:$A$24,0))&lt;=H15,"OK","Starts before dependency ends"),"Unknown id"))</f>
        <v/>
      </c>
      <c r="K15" s="10">
        <f>IF(OR(E15="",F15="",E15=0),"",ROUND(F15/E15*10,2))</f>
        <v/>
      </c>
      <c r="L15" s="11">
        <f>IF(OR($E15="",$H15="",$I15="",$I15=0),0,IF(AND(1&gt;=$H15,1&lt;$H15+$I15),$E15/$I15,0))</f>
        <v/>
      </c>
      <c r="M15" s="11">
        <f>IF(OR($E15="",$H15="",$I15="",$I15=0),0,IF(AND(2&gt;=$H15,2&lt;$H15+$I15),$E15/$I15,0))</f>
        <v/>
      </c>
      <c r="N15" s="11">
        <f>IF(OR($E15="",$H15="",$I15="",$I15=0),0,IF(AND(3&gt;=$H15,3&lt;$H15+$I15),$E15/$I15,0))</f>
        <v/>
      </c>
      <c r="O15" s="11">
        <f>IF(OR($E15="",$H15="",$I15="",$I15=0),0,IF(AND(4&gt;=$H15,4&lt;$H15+$I15),$E15/$I15,0))</f>
        <v/>
      </c>
      <c r="P15" s="11">
        <f>IF(OR($E15="",$H15="",$I15="",$I15=0),0,IF(AND(5&gt;=$H15,5&lt;$H15+$I15),$E15/$I15,0))</f>
        <v/>
      </c>
      <c r="Q15" s="11">
        <f>IF(OR($E15="",$H15="",$I15="",$I15=0),0,IF(AND(6&gt;=$H15,6&lt;$H15+$I15),$E15/$I15,0))</f>
        <v/>
      </c>
      <c r="R15" s="11">
        <f>IF(OR($E15="",$H15="",$I15="",$I15=0),0,IF(AND(7&gt;=$H15,7&lt;$H15+$I15),$E15/$I15,0))</f>
        <v/>
      </c>
      <c r="S15" s="11">
        <f>IF(OR($E15="",$H15="",$I15="",$I15=0),0,IF(AND(8&gt;=$H15,8&lt;$H15+$I15),$E15/$I15,0))</f>
        <v/>
      </c>
      <c r="T15" s="11">
        <f>IF(OR($E15="",$H15="",$I15="",$I15=0),0,IF(AND(9&gt;=$H15,9&lt;$H15+$I15),$E15/$I15,0))</f>
        <v/>
      </c>
      <c r="U15" s="11">
        <f>IF(OR($E15="",$H15="",$I15="",$I15=0),0,IF(AND(10&gt;=$H15,10&lt;$H15+$I15),$E15/$I15,0))</f>
        <v/>
      </c>
      <c r="V15" s="11">
        <f>IF(OR($E15="",$H15="",$I15="",$I15=0),0,IF(AND(11&gt;=$H15,11&lt;$H15+$I15),$E15/$I15,0))</f>
        <v/>
      </c>
      <c r="W15" s="11">
        <f>IF(OR($E15="",$H15="",$I15="",$I15=0),0,IF(AND(12&gt;=$H15,12&lt;$H15+$I15),$E15/$I15,0))</f>
        <v/>
      </c>
    </row>
    <row r="16">
      <c r="A16" s="8" t="inlineStr">
        <is>
          <t>W12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8">
        <f>IF(G16="","",IFERROR(IF(INDEX($H$5:$H$24,MATCH(G16,$A$5:$A$24,0))+INDEX($I$5:$I$24,MATCH(G16,$A$5:$A$24,0))&lt;=H16,"OK","Starts before dependency ends"),"Unknown id"))</f>
        <v/>
      </c>
      <c r="K16" s="10">
        <f>IF(OR(E16="",F16="",E16=0),"",ROUND(F16/E16*10,2))</f>
        <v/>
      </c>
      <c r="L16" s="11">
        <f>IF(OR($E16="",$H16="",$I16="",$I16=0),0,IF(AND(1&gt;=$H16,1&lt;$H16+$I16),$E16/$I16,0))</f>
        <v/>
      </c>
      <c r="M16" s="11">
        <f>IF(OR($E16="",$H16="",$I16="",$I16=0),0,IF(AND(2&gt;=$H16,2&lt;$H16+$I16),$E16/$I16,0))</f>
        <v/>
      </c>
      <c r="N16" s="11">
        <f>IF(OR($E16="",$H16="",$I16="",$I16=0),0,IF(AND(3&gt;=$H16,3&lt;$H16+$I16),$E16/$I16,0))</f>
        <v/>
      </c>
      <c r="O16" s="11">
        <f>IF(OR($E16="",$H16="",$I16="",$I16=0),0,IF(AND(4&gt;=$H16,4&lt;$H16+$I16),$E16/$I16,0))</f>
        <v/>
      </c>
      <c r="P16" s="11">
        <f>IF(OR($E16="",$H16="",$I16="",$I16=0),0,IF(AND(5&gt;=$H16,5&lt;$H16+$I16),$E16/$I16,0))</f>
        <v/>
      </c>
      <c r="Q16" s="11">
        <f>IF(OR($E16="",$H16="",$I16="",$I16=0),0,IF(AND(6&gt;=$H16,6&lt;$H16+$I16),$E16/$I16,0))</f>
        <v/>
      </c>
      <c r="R16" s="11">
        <f>IF(OR($E16="",$H16="",$I16="",$I16=0),0,IF(AND(7&gt;=$H16,7&lt;$H16+$I16),$E16/$I16,0))</f>
        <v/>
      </c>
      <c r="S16" s="11">
        <f>IF(OR($E16="",$H16="",$I16="",$I16=0),0,IF(AND(8&gt;=$H16,8&lt;$H16+$I16),$E16/$I16,0))</f>
        <v/>
      </c>
      <c r="T16" s="11">
        <f>IF(OR($E16="",$H16="",$I16="",$I16=0),0,IF(AND(9&gt;=$H16,9&lt;$H16+$I16),$E16/$I16,0))</f>
        <v/>
      </c>
      <c r="U16" s="11">
        <f>IF(OR($E16="",$H16="",$I16="",$I16=0),0,IF(AND(10&gt;=$H16,10&lt;$H16+$I16),$E16/$I16,0))</f>
        <v/>
      </c>
      <c r="V16" s="11">
        <f>IF(OR($E16="",$H16="",$I16="",$I16=0),0,IF(AND(11&gt;=$H16,11&lt;$H16+$I16),$E16/$I16,0))</f>
        <v/>
      </c>
      <c r="W16" s="11">
        <f>IF(OR($E16="",$H16="",$I16="",$I16=0),0,IF(AND(12&gt;=$H16,12&lt;$H16+$I16),$E16/$I16,0))</f>
        <v/>
      </c>
    </row>
    <row r="17">
      <c r="A17" s="8" t="inlineStr">
        <is>
          <t>W13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8">
        <f>IF(G17="","",IFERROR(IF(INDEX($H$5:$H$24,MATCH(G17,$A$5:$A$24,0))+INDEX($I$5:$I$24,MATCH(G17,$A$5:$A$24,0))&lt;=H17,"OK","Starts before dependency ends"),"Unknown id"))</f>
        <v/>
      </c>
      <c r="K17" s="10">
        <f>IF(OR(E17="",F17="",E17=0),"",ROUND(F17/E17*10,2))</f>
        <v/>
      </c>
      <c r="L17" s="11">
        <f>IF(OR($E17="",$H17="",$I17="",$I17=0),0,IF(AND(1&gt;=$H17,1&lt;$H17+$I17),$E17/$I17,0))</f>
        <v/>
      </c>
      <c r="M17" s="11">
        <f>IF(OR($E17="",$H17="",$I17="",$I17=0),0,IF(AND(2&gt;=$H17,2&lt;$H17+$I17),$E17/$I17,0))</f>
        <v/>
      </c>
      <c r="N17" s="11">
        <f>IF(OR($E17="",$H17="",$I17="",$I17=0),0,IF(AND(3&gt;=$H17,3&lt;$H17+$I17),$E17/$I17,0))</f>
        <v/>
      </c>
      <c r="O17" s="11">
        <f>IF(OR($E17="",$H17="",$I17="",$I17=0),0,IF(AND(4&gt;=$H17,4&lt;$H17+$I17),$E17/$I17,0))</f>
        <v/>
      </c>
      <c r="P17" s="11">
        <f>IF(OR($E17="",$H17="",$I17="",$I17=0),0,IF(AND(5&gt;=$H17,5&lt;$H17+$I17),$E17/$I17,0))</f>
        <v/>
      </c>
      <c r="Q17" s="11">
        <f>IF(OR($E17="",$H17="",$I17="",$I17=0),0,IF(AND(6&gt;=$H17,6&lt;$H17+$I17),$E17/$I17,0))</f>
        <v/>
      </c>
      <c r="R17" s="11">
        <f>IF(OR($E17="",$H17="",$I17="",$I17=0),0,IF(AND(7&gt;=$H17,7&lt;$H17+$I17),$E17/$I17,0))</f>
        <v/>
      </c>
      <c r="S17" s="11">
        <f>IF(OR($E17="",$H17="",$I17="",$I17=0),0,IF(AND(8&gt;=$H17,8&lt;$H17+$I17),$E17/$I17,0))</f>
        <v/>
      </c>
      <c r="T17" s="11">
        <f>IF(OR($E17="",$H17="",$I17="",$I17=0),0,IF(AND(9&gt;=$H17,9&lt;$H17+$I17),$E17/$I17,0))</f>
        <v/>
      </c>
      <c r="U17" s="11">
        <f>IF(OR($E17="",$H17="",$I17="",$I17=0),0,IF(AND(10&gt;=$H17,10&lt;$H17+$I17),$E17/$I17,0))</f>
        <v/>
      </c>
      <c r="V17" s="11">
        <f>IF(OR($E17="",$H17="",$I17="",$I17=0),0,IF(AND(11&gt;=$H17,11&lt;$H17+$I17),$E17/$I17,0))</f>
        <v/>
      </c>
      <c r="W17" s="11">
        <f>IF(OR($E17="",$H17="",$I17="",$I17=0),0,IF(AND(12&gt;=$H17,12&lt;$H17+$I17),$E17/$I17,0))</f>
        <v/>
      </c>
    </row>
    <row r="18">
      <c r="A18" s="8" t="inlineStr">
        <is>
          <t>W14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8">
        <f>IF(G18="","",IFERROR(IF(INDEX($H$5:$H$24,MATCH(G18,$A$5:$A$24,0))+INDEX($I$5:$I$24,MATCH(G18,$A$5:$A$24,0))&lt;=H18,"OK","Starts before dependency ends"),"Unknown id"))</f>
        <v/>
      </c>
      <c r="K18" s="10">
        <f>IF(OR(E18="",F18="",E18=0),"",ROUND(F18/E18*10,2))</f>
        <v/>
      </c>
      <c r="L18" s="11">
        <f>IF(OR($E18="",$H18="",$I18="",$I18=0),0,IF(AND(1&gt;=$H18,1&lt;$H18+$I18),$E18/$I18,0))</f>
        <v/>
      </c>
      <c r="M18" s="11">
        <f>IF(OR($E18="",$H18="",$I18="",$I18=0),0,IF(AND(2&gt;=$H18,2&lt;$H18+$I18),$E18/$I18,0))</f>
        <v/>
      </c>
      <c r="N18" s="11">
        <f>IF(OR($E18="",$H18="",$I18="",$I18=0),0,IF(AND(3&gt;=$H18,3&lt;$H18+$I18),$E18/$I18,0))</f>
        <v/>
      </c>
      <c r="O18" s="11">
        <f>IF(OR($E18="",$H18="",$I18="",$I18=0),0,IF(AND(4&gt;=$H18,4&lt;$H18+$I18),$E18/$I18,0))</f>
        <v/>
      </c>
      <c r="P18" s="11">
        <f>IF(OR($E18="",$H18="",$I18="",$I18=0),0,IF(AND(5&gt;=$H18,5&lt;$H18+$I18),$E18/$I18,0))</f>
        <v/>
      </c>
      <c r="Q18" s="11">
        <f>IF(OR($E18="",$H18="",$I18="",$I18=0),0,IF(AND(6&gt;=$H18,6&lt;$H18+$I18),$E18/$I18,0))</f>
        <v/>
      </c>
      <c r="R18" s="11">
        <f>IF(OR($E18="",$H18="",$I18="",$I18=0),0,IF(AND(7&gt;=$H18,7&lt;$H18+$I18),$E18/$I18,0))</f>
        <v/>
      </c>
      <c r="S18" s="11">
        <f>IF(OR($E18="",$H18="",$I18="",$I18=0),0,IF(AND(8&gt;=$H18,8&lt;$H18+$I18),$E18/$I18,0))</f>
        <v/>
      </c>
      <c r="T18" s="11">
        <f>IF(OR($E18="",$H18="",$I18="",$I18=0),0,IF(AND(9&gt;=$H18,9&lt;$H18+$I18),$E18/$I18,0))</f>
        <v/>
      </c>
      <c r="U18" s="11">
        <f>IF(OR($E18="",$H18="",$I18="",$I18=0),0,IF(AND(10&gt;=$H18,10&lt;$H18+$I18),$E18/$I18,0))</f>
        <v/>
      </c>
      <c r="V18" s="11">
        <f>IF(OR($E18="",$H18="",$I18="",$I18=0),0,IF(AND(11&gt;=$H18,11&lt;$H18+$I18),$E18/$I18,0))</f>
        <v/>
      </c>
      <c r="W18" s="11">
        <f>IF(OR($E18="",$H18="",$I18="",$I18=0),0,IF(AND(12&gt;=$H18,12&lt;$H18+$I18),$E18/$I18,0))</f>
        <v/>
      </c>
    </row>
    <row r="19">
      <c r="A19" s="8" t="inlineStr">
        <is>
          <t>W15</t>
        </is>
      </c>
      <c r="B19" s="9" t="n"/>
      <c r="C19" s="9" t="n"/>
      <c r="D19" s="9" t="n"/>
      <c r="E19" s="9" t="n"/>
      <c r="F19" s="9" t="n"/>
      <c r="G19" s="9" t="n"/>
      <c r="H19" s="9" t="n"/>
      <c r="I19" s="9" t="n"/>
      <c r="J19" s="8">
        <f>IF(G19="","",IFERROR(IF(INDEX($H$5:$H$24,MATCH(G19,$A$5:$A$24,0))+INDEX($I$5:$I$24,MATCH(G19,$A$5:$A$24,0))&lt;=H19,"OK","Starts before dependency ends"),"Unknown id"))</f>
        <v/>
      </c>
      <c r="K19" s="10">
        <f>IF(OR(E19="",F19="",E19=0),"",ROUND(F19/E19*10,2))</f>
        <v/>
      </c>
      <c r="L19" s="11">
        <f>IF(OR($E19="",$H19="",$I19="",$I19=0),0,IF(AND(1&gt;=$H19,1&lt;$H19+$I19),$E19/$I19,0))</f>
        <v/>
      </c>
      <c r="M19" s="11">
        <f>IF(OR($E19="",$H19="",$I19="",$I19=0),0,IF(AND(2&gt;=$H19,2&lt;$H19+$I19),$E19/$I19,0))</f>
        <v/>
      </c>
      <c r="N19" s="11">
        <f>IF(OR($E19="",$H19="",$I19="",$I19=0),0,IF(AND(3&gt;=$H19,3&lt;$H19+$I19),$E19/$I19,0))</f>
        <v/>
      </c>
      <c r="O19" s="11">
        <f>IF(OR($E19="",$H19="",$I19="",$I19=0),0,IF(AND(4&gt;=$H19,4&lt;$H19+$I19),$E19/$I19,0))</f>
        <v/>
      </c>
      <c r="P19" s="11">
        <f>IF(OR($E19="",$H19="",$I19="",$I19=0),0,IF(AND(5&gt;=$H19,5&lt;$H19+$I19),$E19/$I19,0))</f>
        <v/>
      </c>
      <c r="Q19" s="11">
        <f>IF(OR($E19="",$H19="",$I19="",$I19=0),0,IF(AND(6&gt;=$H19,6&lt;$H19+$I19),$E19/$I19,0))</f>
        <v/>
      </c>
      <c r="R19" s="11">
        <f>IF(OR($E19="",$H19="",$I19="",$I19=0),0,IF(AND(7&gt;=$H19,7&lt;$H19+$I19),$E19/$I19,0))</f>
        <v/>
      </c>
      <c r="S19" s="11">
        <f>IF(OR($E19="",$H19="",$I19="",$I19=0),0,IF(AND(8&gt;=$H19,8&lt;$H19+$I19),$E19/$I19,0))</f>
        <v/>
      </c>
      <c r="T19" s="11">
        <f>IF(OR($E19="",$H19="",$I19="",$I19=0),0,IF(AND(9&gt;=$H19,9&lt;$H19+$I19),$E19/$I19,0))</f>
        <v/>
      </c>
      <c r="U19" s="11">
        <f>IF(OR($E19="",$H19="",$I19="",$I19=0),0,IF(AND(10&gt;=$H19,10&lt;$H19+$I19),$E19/$I19,0))</f>
        <v/>
      </c>
      <c r="V19" s="11">
        <f>IF(OR($E19="",$H19="",$I19="",$I19=0),0,IF(AND(11&gt;=$H19,11&lt;$H19+$I19),$E19/$I19,0))</f>
        <v/>
      </c>
      <c r="W19" s="11">
        <f>IF(OR($E19="",$H19="",$I19="",$I19=0),0,IF(AND(12&gt;=$H19,12&lt;$H19+$I19),$E19/$I19,0))</f>
        <v/>
      </c>
    </row>
    <row r="20">
      <c r="A20" s="8" t="inlineStr">
        <is>
          <t>W16</t>
        </is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8">
        <f>IF(G20="","",IFERROR(IF(INDEX($H$5:$H$24,MATCH(G20,$A$5:$A$24,0))+INDEX($I$5:$I$24,MATCH(G20,$A$5:$A$24,0))&lt;=H20,"OK","Starts before dependency ends"),"Unknown id"))</f>
        <v/>
      </c>
      <c r="K20" s="10">
        <f>IF(OR(E20="",F20="",E20=0),"",ROUND(F20/E20*10,2))</f>
        <v/>
      </c>
      <c r="L20" s="11">
        <f>IF(OR($E20="",$H20="",$I20="",$I20=0),0,IF(AND(1&gt;=$H20,1&lt;$H20+$I20),$E20/$I20,0))</f>
        <v/>
      </c>
      <c r="M20" s="11">
        <f>IF(OR($E20="",$H20="",$I20="",$I20=0),0,IF(AND(2&gt;=$H20,2&lt;$H20+$I20),$E20/$I20,0))</f>
        <v/>
      </c>
      <c r="N20" s="11">
        <f>IF(OR($E20="",$H20="",$I20="",$I20=0),0,IF(AND(3&gt;=$H20,3&lt;$H20+$I20),$E20/$I20,0))</f>
        <v/>
      </c>
      <c r="O20" s="11">
        <f>IF(OR($E20="",$H20="",$I20="",$I20=0),0,IF(AND(4&gt;=$H20,4&lt;$H20+$I20),$E20/$I20,0))</f>
        <v/>
      </c>
      <c r="P20" s="11">
        <f>IF(OR($E20="",$H20="",$I20="",$I20=0),0,IF(AND(5&gt;=$H20,5&lt;$H20+$I20),$E20/$I20,0))</f>
        <v/>
      </c>
      <c r="Q20" s="11">
        <f>IF(OR($E20="",$H20="",$I20="",$I20=0),0,IF(AND(6&gt;=$H20,6&lt;$H20+$I20),$E20/$I20,0))</f>
        <v/>
      </c>
      <c r="R20" s="11">
        <f>IF(OR($E20="",$H20="",$I20="",$I20=0),0,IF(AND(7&gt;=$H20,7&lt;$H20+$I20),$E20/$I20,0))</f>
        <v/>
      </c>
      <c r="S20" s="11">
        <f>IF(OR($E20="",$H20="",$I20="",$I20=0),0,IF(AND(8&gt;=$H20,8&lt;$H20+$I20),$E20/$I20,0))</f>
        <v/>
      </c>
      <c r="T20" s="11">
        <f>IF(OR($E20="",$H20="",$I20="",$I20=0),0,IF(AND(9&gt;=$H20,9&lt;$H20+$I20),$E20/$I20,0))</f>
        <v/>
      </c>
      <c r="U20" s="11">
        <f>IF(OR($E20="",$H20="",$I20="",$I20=0),0,IF(AND(10&gt;=$H20,10&lt;$H20+$I20),$E20/$I20,0))</f>
        <v/>
      </c>
      <c r="V20" s="11">
        <f>IF(OR($E20="",$H20="",$I20="",$I20=0),0,IF(AND(11&gt;=$H20,11&lt;$H20+$I20),$E20/$I20,0))</f>
        <v/>
      </c>
      <c r="W20" s="11">
        <f>IF(OR($E20="",$H20="",$I20="",$I20=0),0,IF(AND(12&gt;=$H20,12&lt;$H20+$I20),$E20/$I20,0))</f>
        <v/>
      </c>
    </row>
    <row r="21">
      <c r="A21" s="8" t="inlineStr">
        <is>
          <t>W17</t>
        </is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8">
        <f>IF(G21="","",IFERROR(IF(INDEX($H$5:$H$24,MATCH(G21,$A$5:$A$24,0))+INDEX($I$5:$I$24,MATCH(G21,$A$5:$A$24,0))&lt;=H21,"OK","Starts before dependency ends"),"Unknown id"))</f>
        <v/>
      </c>
      <c r="K21" s="10">
        <f>IF(OR(E21="",F21="",E21=0),"",ROUND(F21/E21*10,2))</f>
        <v/>
      </c>
      <c r="L21" s="11">
        <f>IF(OR($E21="",$H21="",$I21="",$I21=0),0,IF(AND(1&gt;=$H21,1&lt;$H21+$I21),$E21/$I21,0))</f>
        <v/>
      </c>
      <c r="M21" s="11">
        <f>IF(OR($E21="",$H21="",$I21="",$I21=0),0,IF(AND(2&gt;=$H21,2&lt;$H21+$I21),$E21/$I21,0))</f>
        <v/>
      </c>
      <c r="N21" s="11">
        <f>IF(OR($E21="",$H21="",$I21="",$I21=0),0,IF(AND(3&gt;=$H21,3&lt;$H21+$I21),$E21/$I21,0))</f>
        <v/>
      </c>
      <c r="O21" s="11">
        <f>IF(OR($E21="",$H21="",$I21="",$I21=0),0,IF(AND(4&gt;=$H21,4&lt;$H21+$I21),$E21/$I21,0))</f>
        <v/>
      </c>
      <c r="P21" s="11">
        <f>IF(OR($E21="",$H21="",$I21="",$I21=0),0,IF(AND(5&gt;=$H21,5&lt;$H21+$I21),$E21/$I21,0))</f>
        <v/>
      </c>
      <c r="Q21" s="11">
        <f>IF(OR($E21="",$H21="",$I21="",$I21=0),0,IF(AND(6&gt;=$H21,6&lt;$H21+$I21),$E21/$I21,0))</f>
        <v/>
      </c>
      <c r="R21" s="11">
        <f>IF(OR($E21="",$H21="",$I21="",$I21=0),0,IF(AND(7&gt;=$H21,7&lt;$H21+$I21),$E21/$I21,0))</f>
        <v/>
      </c>
      <c r="S21" s="11">
        <f>IF(OR($E21="",$H21="",$I21="",$I21=0),0,IF(AND(8&gt;=$H21,8&lt;$H21+$I21),$E21/$I21,0))</f>
        <v/>
      </c>
      <c r="T21" s="11">
        <f>IF(OR($E21="",$H21="",$I21="",$I21=0),0,IF(AND(9&gt;=$H21,9&lt;$H21+$I21),$E21/$I21,0))</f>
        <v/>
      </c>
      <c r="U21" s="11">
        <f>IF(OR($E21="",$H21="",$I21="",$I21=0),0,IF(AND(10&gt;=$H21,10&lt;$H21+$I21),$E21/$I21,0))</f>
        <v/>
      </c>
      <c r="V21" s="11">
        <f>IF(OR($E21="",$H21="",$I21="",$I21=0),0,IF(AND(11&gt;=$H21,11&lt;$H21+$I21),$E21/$I21,0))</f>
        <v/>
      </c>
      <c r="W21" s="11">
        <f>IF(OR($E21="",$H21="",$I21="",$I21=0),0,IF(AND(12&gt;=$H21,12&lt;$H21+$I21),$E21/$I21,0))</f>
        <v/>
      </c>
    </row>
    <row r="22">
      <c r="A22" s="8" t="inlineStr">
        <is>
          <t>W18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8">
        <f>IF(G22="","",IFERROR(IF(INDEX($H$5:$H$24,MATCH(G22,$A$5:$A$24,0))+INDEX($I$5:$I$24,MATCH(G22,$A$5:$A$24,0))&lt;=H22,"OK","Starts before dependency ends"),"Unknown id"))</f>
        <v/>
      </c>
      <c r="K22" s="10">
        <f>IF(OR(E22="",F22="",E22=0),"",ROUND(F22/E22*10,2))</f>
        <v/>
      </c>
      <c r="L22" s="11">
        <f>IF(OR($E22="",$H22="",$I22="",$I22=0),0,IF(AND(1&gt;=$H22,1&lt;$H22+$I22),$E22/$I22,0))</f>
        <v/>
      </c>
      <c r="M22" s="11">
        <f>IF(OR($E22="",$H22="",$I22="",$I22=0),0,IF(AND(2&gt;=$H22,2&lt;$H22+$I22),$E22/$I22,0))</f>
        <v/>
      </c>
      <c r="N22" s="11">
        <f>IF(OR($E22="",$H22="",$I22="",$I22=0),0,IF(AND(3&gt;=$H22,3&lt;$H22+$I22),$E22/$I22,0))</f>
        <v/>
      </c>
      <c r="O22" s="11">
        <f>IF(OR($E22="",$H22="",$I22="",$I22=0),0,IF(AND(4&gt;=$H22,4&lt;$H22+$I22),$E22/$I22,0))</f>
        <v/>
      </c>
      <c r="P22" s="11">
        <f>IF(OR($E22="",$H22="",$I22="",$I22=0),0,IF(AND(5&gt;=$H22,5&lt;$H22+$I22),$E22/$I22,0))</f>
        <v/>
      </c>
      <c r="Q22" s="11">
        <f>IF(OR($E22="",$H22="",$I22="",$I22=0),0,IF(AND(6&gt;=$H22,6&lt;$H22+$I22),$E22/$I22,0))</f>
        <v/>
      </c>
      <c r="R22" s="11">
        <f>IF(OR($E22="",$H22="",$I22="",$I22=0),0,IF(AND(7&gt;=$H22,7&lt;$H22+$I22),$E22/$I22,0))</f>
        <v/>
      </c>
      <c r="S22" s="11">
        <f>IF(OR($E22="",$H22="",$I22="",$I22=0),0,IF(AND(8&gt;=$H22,8&lt;$H22+$I22),$E22/$I22,0))</f>
        <v/>
      </c>
      <c r="T22" s="11">
        <f>IF(OR($E22="",$H22="",$I22="",$I22=0),0,IF(AND(9&gt;=$H22,9&lt;$H22+$I22),$E22/$I22,0))</f>
        <v/>
      </c>
      <c r="U22" s="11">
        <f>IF(OR($E22="",$H22="",$I22="",$I22=0),0,IF(AND(10&gt;=$H22,10&lt;$H22+$I22),$E22/$I22,0))</f>
        <v/>
      </c>
      <c r="V22" s="11">
        <f>IF(OR($E22="",$H22="",$I22="",$I22=0),0,IF(AND(11&gt;=$H22,11&lt;$H22+$I22),$E22/$I22,0))</f>
        <v/>
      </c>
      <c r="W22" s="11">
        <f>IF(OR($E22="",$H22="",$I22="",$I22=0),0,IF(AND(12&gt;=$H22,12&lt;$H22+$I22),$E22/$I22,0))</f>
        <v/>
      </c>
    </row>
    <row r="23">
      <c r="A23" s="8" t="inlineStr">
        <is>
          <t>W19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8">
        <f>IF(G23="","",IFERROR(IF(INDEX($H$5:$H$24,MATCH(G23,$A$5:$A$24,0))+INDEX($I$5:$I$24,MATCH(G23,$A$5:$A$24,0))&lt;=H23,"OK","Starts before dependency ends"),"Unknown id"))</f>
        <v/>
      </c>
      <c r="K23" s="10">
        <f>IF(OR(E23="",F23="",E23=0),"",ROUND(F23/E23*10,2))</f>
        <v/>
      </c>
      <c r="L23" s="11">
        <f>IF(OR($E23="",$H23="",$I23="",$I23=0),0,IF(AND(1&gt;=$H23,1&lt;$H23+$I23),$E23/$I23,0))</f>
        <v/>
      </c>
      <c r="M23" s="11">
        <f>IF(OR($E23="",$H23="",$I23="",$I23=0),0,IF(AND(2&gt;=$H23,2&lt;$H23+$I23),$E23/$I23,0))</f>
        <v/>
      </c>
      <c r="N23" s="11">
        <f>IF(OR($E23="",$H23="",$I23="",$I23=0),0,IF(AND(3&gt;=$H23,3&lt;$H23+$I23),$E23/$I23,0))</f>
        <v/>
      </c>
      <c r="O23" s="11">
        <f>IF(OR($E23="",$H23="",$I23="",$I23=0),0,IF(AND(4&gt;=$H23,4&lt;$H23+$I23),$E23/$I23,0))</f>
        <v/>
      </c>
      <c r="P23" s="11">
        <f>IF(OR($E23="",$H23="",$I23="",$I23=0),0,IF(AND(5&gt;=$H23,5&lt;$H23+$I23),$E23/$I23,0))</f>
        <v/>
      </c>
      <c r="Q23" s="11">
        <f>IF(OR($E23="",$H23="",$I23="",$I23=0),0,IF(AND(6&gt;=$H23,6&lt;$H23+$I23),$E23/$I23,0))</f>
        <v/>
      </c>
      <c r="R23" s="11">
        <f>IF(OR($E23="",$H23="",$I23="",$I23=0),0,IF(AND(7&gt;=$H23,7&lt;$H23+$I23),$E23/$I23,0))</f>
        <v/>
      </c>
      <c r="S23" s="11">
        <f>IF(OR($E23="",$H23="",$I23="",$I23=0),0,IF(AND(8&gt;=$H23,8&lt;$H23+$I23),$E23/$I23,0))</f>
        <v/>
      </c>
      <c r="T23" s="11">
        <f>IF(OR($E23="",$H23="",$I23="",$I23=0),0,IF(AND(9&gt;=$H23,9&lt;$H23+$I23),$E23/$I23,0))</f>
        <v/>
      </c>
      <c r="U23" s="11">
        <f>IF(OR($E23="",$H23="",$I23="",$I23=0),0,IF(AND(10&gt;=$H23,10&lt;$H23+$I23),$E23/$I23,0))</f>
        <v/>
      </c>
      <c r="V23" s="11">
        <f>IF(OR($E23="",$H23="",$I23="",$I23=0),0,IF(AND(11&gt;=$H23,11&lt;$H23+$I23),$E23/$I23,0))</f>
        <v/>
      </c>
      <c r="W23" s="11">
        <f>IF(OR($E23="",$H23="",$I23="",$I23=0),0,IF(AND(12&gt;=$H23,12&lt;$H23+$I23),$E23/$I23,0))</f>
        <v/>
      </c>
    </row>
    <row r="24">
      <c r="A24" s="8" t="inlineStr">
        <is>
          <t>W20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8">
        <f>IF(G24="","",IFERROR(IF(INDEX($H$5:$H$24,MATCH(G24,$A$5:$A$24,0))+INDEX($I$5:$I$24,MATCH(G24,$A$5:$A$24,0))&lt;=H24,"OK","Starts before dependency ends"),"Unknown id"))</f>
        <v/>
      </c>
      <c r="K24" s="10">
        <f>IF(OR(E24="",F24="",E24=0),"",ROUND(F24/E24*10,2))</f>
        <v/>
      </c>
      <c r="L24" s="11">
        <f>IF(OR($E24="",$H24="",$I24="",$I24=0),0,IF(AND(1&gt;=$H24,1&lt;$H24+$I24),$E24/$I24,0))</f>
        <v/>
      </c>
      <c r="M24" s="11">
        <f>IF(OR($E24="",$H24="",$I24="",$I24=0),0,IF(AND(2&gt;=$H24,2&lt;$H24+$I24),$E24/$I24,0))</f>
        <v/>
      </c>
      <c r="N24" s="11">
        <f>IF(OR($E24="",$H24="",$I24="",$I24=0),0,IF(AND(3&gt;=$H24,3&lt;$H24+$I24),$E24/$I24,0))</f>
        <v/>
      </c>
      <c r="O24" s="11">
        <f>IF(OR($E24="",$H24="",$I24="",$I24=0),0,IF(AND(4&gt;=$H24,4&lt;$H24+$I24),$E24/$I24,0))</f>
        <v/>
      </c>
      <c r="P24" s="11">
        <f>IF(OR($E24="",$H24="",$I24="",$I24=0),0,IF(AND(5&gt;=$H24,5&lt;$H24+$I24),$E24/$I24,0))</f>
        <v/>
      </c>
      <c r="Q24" s="11">
        <f>IF(OR($E24="",$H24="",$I24="",$I24=0),0,IF(AND(6&gt;=$H24,6&lt;$H24+$I24),$E24/$I24,0))</f>
        <v/>
      </c>
      <c r="R24" s="11">
        <f>IF(OR($E24="",$H24="",$I24="",$I24=0),0,IF(AND(7&gt;=$H24,7&lt;$H24+$I24),$E24/$I24,0))</f>
        <v/>
      </c>
      <c r="S24" s="11">
        <f>IF(OR($E24="",$H24="",$I24="",$I24=0),0,IF(AND(8&gt;=$H24,8&lt;$H24+$I24),$E24/$I24,0))</f>
        <v/>
      </c>
      <c r="T24" s="11">
        <f>IF(OR($E24="",$H24="",$I24="",$I24=0),0,IF(AND(9&gt;=$H24,9&lt;$H24+$I24),$E24/$I24,0))</f>
        <v/>
      </c>
      <c r="U24" s="11">
        <f>IF(OR($E24="",$H24="",$I24="",$I24=0),0,IF(AND(10&gt;=$H24,10&lt;$H24+$I24),$E24/$I24,0))</f>
        <v/>
      </c>
      <c r="V24" s="11">
        <f>IF(OR($E24="",$H24="",$I24="",$I24=0),0,IF(AND(11&gt;=$H24,11&lt;$H24+$I24),$E24/$I24,0))</f>
        <v/>
      </c>
      <c r="W24" s="11">
        <f>IF(OR($E24="",$H24="",$I24="",$I24=0),0,IF(AND(12&gt;=$H24,12&lt;$H24+$I24),$E24/$I24,0))</f>
        <v/>
      </c>
    </row>
    <row r="25">
      <c r="A25" s="4" t="inlineStr">
        <is>
          <t>Total effort per month (person-days)</t>
        </is>
      </c>
      <c r="L25" s="12">
        <f>SUM(L5:L24)</f>
        <v/>
      </c>
      <c r="M25" s="12">
        <f>SUM(M5:M24)</f>
        <v/>
      </c>
      <c r="N25" s="12">
        <f>SUM(N5:N24)</f>
        <v/>
      </c>
      <c r="O25" s="12">
        <f>SUM(O5:O24)</f>
        <v/>
      </c>
      <c r="P25" s="12">
        <f>SUM(P5:P24)</f>
        <v/>
      </c>
      <c r="Q25" s="12">
        <f>SUM(Q5:Q24)</f>
        <v/>
      </c>
      <c r="R25" s="12">
        <f>SUM(R5:R24)</f>
        <v/>
      </c>
      <c r="S25" s="12">
        <f>SUM(S5:S24)</f>
        <v/>
      </c>
      <c r="T25" s="12">
        <f>SUM(T5:T24)</f>
        <v/>
      </c>
      <c r="U25" s="12">
        <f>SUM(U5:U24)</f>
        <v/>
      </c>
      <c r="V25" s="12">
        <f>SUM(V5:V24)</f>
        <v/>
      </c>
      <c r="W25" s="12">
        <f>SUM(W5:W24)</f>
        <v/>
      </c>
    </row>
    <row r="26">
      <c r="A26" s="4" t="inlineStr">
        <is>
          <t>Total effort in the plan</t>
        </is>
      </c>
      <c r="E26" s="13">
        <f>SUM(E5:E24)</f>
        <v/>
      </c>
    </row>
    <row r="27">
      <c r="A27" s="4" t="inlineStr">
        <is>
          <t>Busiest month (person-days)</t>
        </is>
      </c>
      <c r="E27" s="14">
        <f>MAX(L25:W25)</f>
        <v/>
      </c>
    </row>
  </sheetData>
  <dataValidations count="3">
    <dataValidation sqref="F5:F24" showDropDown="0" showInputMessage="0" showErrorMessage="0" allowBlank="1" errorTitle="Value" error="Enter 1 to 5." type="list">
      <formula1>"1,2,3,4,5"</formula1>
    </dataValidation>
    <dataValidation sqref="H5:H24" showDropDown="0" showInputMessage="0" showErrorMessage="0" allowBlank="1" errorTitle="Start month" error="Enter a month from 1 to 12." type="list">
      <formula1>"1,2,3,4,5,6,7,8,9,10,11,12"</formula1>
    </dataValidation>
    <dataValidation sqref="C5:C24" showDropDown="0" showInputMessage="0" showErrorMessage="0" allowBlank="1" type="list">
      <formula1>"Use cases and sponsorship,Data: inventory, quality and metadata,Platform and pipelines,Protection and law,People and governance"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Kitara course build</dc:creator>
  <dcterms:created xmlns:dcterms="http://purl.org/dc/terms/" xmlns:xsi="http://www.w3.org/2001/XMLSchema-instance" xsi:type="dcterms:W3CDTF">2026-10-29T09:00:00Z</dcterms:created>
  <dcterms:modified xmlns:dcterms="http://purl.org/dc/terms/" xmlns:xsi="http://www.w3.org/2001/XMLSchema-instance" xsi:type="dcterms:W3CDTF">2026-10-29T09:00:00Z</dcterms:modified>
</cp:coreProperties>
</file>