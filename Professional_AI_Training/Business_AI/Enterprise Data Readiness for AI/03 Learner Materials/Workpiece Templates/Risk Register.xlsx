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i val="1"/>
      <color rgb="00595959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FFF8E5"/>
      </patternFill>
    </fill>
  </fills>
  <borders count="3">
    <border>
      <left/>
      <right/>
      <top/>
      <bottom/>
      <diagonal/>
    </border>
    <border>
      <bottom style="thin">
        <color rgb="00404040"/>
      </bottom>
    </border>
    <border>
      <bottom style="hair">
        <color rgb="0080808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bottom" wrapText="1"/>
    </xf>
    <xf numFmtId="0" fontId="4" fillId="0" borderId="0" pivotButton="0" quotePrefix="0" xfId="0"/>
    <xf numFmtId="0" fontId="4" fillId="0" borderId="1" pivotButton="0" quotePrefix="0" xfId="0"/>
    <xf numFmtId="0" fontId="2" fillId="0" borderId="2" pivotButton="0" quotePrefix="0" xfId="0"/>
    <xf numFmtId="0" fontId="2" fillId="2" borderId="2" applyAlignment="1" pivotButton="0" quotePrefix="0" xfId="0">
      <alignment vertical="top" wrapText="1"/>
    </xf>
    <xf numFmtId="164" fontId="2" fillId="2" borderId="2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Risk Register</t>
        </is>
      </c>
    </row>
    <row r="3">
      <c r="A3" s="2" t="inlineStr">
        <is>
          <t>List up to 20 risks for your first AI use. Score likelihood and impact from 1 (low) to 5 (high).</t>
        </is>
      </c>
    </row>
    <row r="4">
      <c r="A4" s="2" t="inlineStr">
        <is>
          <t>Score = likelihood x impact. Rating: 15 or more is High, 8 to 14 is Medium, below 8 is Low. Rank 1 is the highest score.</t>
        </is>
      </c>
    </row>
    <row r="5">
      <c r="A5" s="2" t="inlineStr">
        <is>
          <t>Every risk needs one named owner and one action with a date.</t>
        </is>
      </c>
    </row>
    <row r="6">
      <c r="A6" s="2" t="inlineStr">
        <is>
          <t>The grid on the right counts how many risks sit in each likelihood and impact cell.</t>
        </is>
      </c>
    </row>
    <row r="7"/>
    <row r="8">
      <c r="A8" s="3" t="inlineStr">
        <is>
          <t>Cells with a light cream tint are for your input. All other cells are formulas or fixed text.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27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8" customWidth="1" min="2" max="2"/>
    <col width="22" customWidth="1" min="3" max="3"/>
    <col width="12" customWidth="1" min="4" max="4"/>
    <col width="12" customWidth="1" min="5" max="5"/>
    <col width="8" customWidth="1" min="6" max="6"/>
    <col width="10" customWidth="1" min="7" max="7"/>
    <col width="8" customWidth="1" min="8" max="8"/>
    <col width="22" customWidth="1" min="9" max="9"/>
    <col width="36" customWidth="1" min="10" max="10"/>
    <col width="12" customWidth="1" min="11" max="11"/>
    <col width="12" customWidth="1" min="12" max="12"/>
    <col width="3" customWidth="1" min="13" max="13"/>
    <col width="18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</cols>
  <sheetData>
    <row r="1">
      <c r="A1" s="1" t="inlineStr">
        <is>
          <t>Risk Register</t>
        </is>
      </c>
    </row>
    <row r="3">
      <c r="A3" s="4" t="inlineStr">
        <is>
          <t>Risk id</t>
        </is>
      </c>
      <c r="B3" s="4" t="inlineStr">
        <is>
          <t>Risk (cause, event, effect)</t>
        </is>
      </c>
      <c r="C3" s="4" t="inlineStr">
        <is>
          <t>Category</t>
        </is>
      </c>
      <c r="D3" s="4" t="inlineStr">
        <is>
          <t>Likelihood (1-5)</t>
        </is>
      </c>
      <c r="E3" s="4" t="inlineStr">
        <is>
          <t>Impact (1-5)</t>
        </is>
      </c>
      <c r="F3" s="4" t="inlineStr">
        <is>
          <t>Score</t>
        </is>
      </c>
      <c r="G3" s="4" t="inlineStr">
        <is>
          <t>Rating</t>
        </is>
      </c>
      <c r="H3" s="4" t="inlineStr">
        <is>
          <t>Rank</t>
        </is>
      </c>
      <c r="I3" s="4" t="inlineStr">
        <is>
          <t>Owner (role)</t>
        </is>
      </c>
      <c r="J3" s="4" t="inlineStr">
        <is>
          <t>Action</t>
        </is>
      </c>
      <c r="K3" s="4" t="inlineStr">
        <is>
          <t>Due date</t>
        </is>
      </c>
      <c r="L3" s="4" t="inlineStr">
        <is>
          <t>Status</t>
        </is>
      </c>
      <c r="N3" s="5" t="inlineStr">
        <is>
          <t>Likelihood \ Impact</t>
        </is>
      </c>
      <c r="O3" s="6" t="n">
        <v>1</v>
      </c>
      <c r="P3" s="6" t="n">
        <v>2</v>
      </c>
      <c r="Q3" s="6" t="n">
        <v>3</v>
      </c>
      <c r="R3" s="6" t="n">
        <v>4</v>
      </c>
      <c r="S3" s="6" t="n">
        <v>5</v>
      </c>
    </row>
    <row r="4">
      <c r="A4" s="7" t="inlineStr">
        <is>
          <t>R01</t>
        </is>
      </c>
      <c r="B4" s="8" t="n"/>
      <c r="C4" s="8" t="n"/>
      <c r="D4" s="8" t="n"/>
      <c r="E4" s="8" t="n"/>
      <c r="F4" s="7">
        <f>IF(OR(D4="",E4=""),"",D4*E4)</f>
        <v/>
      </c>
      <c r="G4" s="7">
        <f>IF(F4="","",IF(F4&gt;=15,"High",IF(F4&gt;=8,"Medium","Low")))</f>
        <v/>
      </c>
      <c r="H4" s="7">
        <f>IF(F4="","",RANK(F4,$F$4:$F$23,0)+COUNTIF($F$4:F4,F4)-1)</f>
        <v/>
      </c>
      <c r="I4" s="8" t="n"/>
      <c r="J4" s="8" t="n"/>
      <c r="K4" s="9" t="n"/>
      <c r="L4" s="8" t="n"/>
      <c r="N4" s="5" t="n">
        <v>5</v>
      </c>
      <c r="O4" s="7">
        <f>COUNTIFS($D$4:$D$23,$N4,$E$4:$E$23,O$3)</f>
        <v/>
      </c>
      <c r="P4" s="7">
        <f>COUNTIFS($D$4:$D$23,$N4,$E$4:$E$23,P$3)</f>
        <v/>
      </c>
      <c r="Q4" s="7">
        <f>COUNTIFS($D$4:$D$23,$N4,$E$4:$E$23,Q$3)</f>
        <v/>
      </c>
      <c r="R4" s="7">
        <f>COUNTIFS($D$4:$D$23,$N4,$E$4:$E$23,R$3)</f>
        <v/>
      </c>
      <c r="S4" s="7">
        <f>COUNTIFS($D$4:$D$23,$N4,$E$4:$E$23,S$3)</f>
        <v/>
      </c>
    </row>
    <row r="5">
      <c r="A5" s="7" t="inlineStr">
        <is>
          <t>R02</t>
        </is>
      </c>
      <c r="B5" s="8" t="n"/>
      <c r="C5" s="8" t="n"/>
      <c r="D5" s="8" t="n"/>
      <c r="E5" s="8" t="n"/>
      <c r="F5" s="7">
        <f>IF(OR(D5="",E5=""),"",D5*E5)</f>
        <v/>
      </c>
      <c r="G5" s="7">
        <f>IF(F5="","",IF(F5&gt;=15,"High",IF(F5&gt;=8,"Medium","Low")))</f>
        <v/>
      </c>
      <c r="H5" s="7">
        <f>IF(F5="","",RANK(F5,$F$4:$F$23,0)+COUNTIF($F$4:F5,F5)-1)</f>
        <v/>
      </c>
      <c r="I5" s="8" t="n"/>
      <c r="J5" s="8" t="n"/>
      <c r="K5" s="9" t="n"/>
      <c r="L5" s="8" t="n"/>
      <c r="N5" s="5" t="n">
        <v>4</v>
      </c>
      <c r="O5" s="7">
        <f>COUNTIFS($D$4:$D$23,$N5,$E$4:$E$23,O$3)</f>
        <v/>
      </c>
      <c r="P5" s="7">
        <f>COUNTIFS($D$4:$D$23,$N5,$E$4:$E$23,P$3)</f>
        <v/>
      </c>
      <c r="Q5" s="7">
        <f>COUNTIFS($D$4:$D$23,$N5,$E$4:$E$23,Q$3)</f>
        <v/>
      </c>
      <c r="R5" s="7">
        <f>COUNTIFS($D$4:$D$23,$N5,$E$4:$E$23,R$3)</f>
        <v/>
      </c>
      <c r="S5" s="7">
        <f>COUNTIFS($D$4:$D$23,$N5,$E$4:$E$23,S$3)</f>
        <v/>
      </c>
    </row>
    <row r="6">
      <c r="A6" s="7" t="inlineStr">
        <is>
          <t>R03</t>
        </is>
      </c>
      <c r="B6" s="8" t="n"/>
      <c r="C6" s="8" t="n"/>
      <c r="D6" s="8" t="n"/>
      <c r="E6" s="8" t="n"/>
      <c r="F6" s="7">
        <f>IF(OR(D6="",E6=""),"",D6*E6)</f>
        <v/>
      </c>
      <c r="G6" s="7">
        <f>IF(F6="","",IF(F6&gt;=15,"High",IF(F6&gt;=8,"Medium","Low")))</f>
        <v/>
      </c>
      <c r="H6" s="7">
        <f>IF(F6="","",RANK(F6,$F$4:$F$23,0)+COUNTIF($F$4:F6,F6)-1)</f>
        <v/>
      </c>
      <c r="I6" s="8" t="n"/>
      <c r="J6" s="8" t="n"/>
      <c r="K6" s="9" t="n"/>
      <c r="L6" s="8" t="n"/>
      <c r="N6" s="5" t="n">
        <v>3</v>
      </c>
      <c r="O6" s="7">
        <f>COUNTIFS($D$4:$D$23,$N6,$E$4:$E$23,O$3)</f>
        <v/>
      </c>
      <c r="P6" s="7">
        <f>COUNTIFS($D$4:$D$23,$N6,$E$4:$E$23,P$3)</f>
        <v/>
      </c>
      <c r="Q6" s="7">
        <f>COUNTIFS($D$4:$D$23,$N6,$E$4:$E$23,Q$3)</f>
        <v/>
      </c>
      <c r="R6" s="7">
        <f>COUNTIFS($D$4:$D$23,$N6,$E$4:$E$23,R$3)</f>
        <v/>
      </c>
      <c r="S6" s="7">
        <f>COUNTIFS($D$4:$D$23,$N6,$E$4:$E$23,S$3)</f>
        <v/>
      </c>
    </row>
    <row r="7">
      <c r="A7" s="7" t="inlineStr">
        <is>
          <t>R04</t>
        </is>
      </c>
      <c r="B7" s="8" t="n"/>
      <c r="C7" s="8" t="n"/>
      <c r="D7" s="8" t="n"/>
      <c r="E7" s="8" t="n"/>
      <c r="F7" s="7">
        <f>IF(OR(D7="",E7=""),"",D7*E7)</f>
        <v/>
      </c>
      <c r="G7" s="7">
        <f>IF(F7="","",IF(F7&gt;=15,"High",IF(F7&gt;=8,"Medium","Low")))</f>
        <v/>
      </c>
      <c r="H7" s="7">
        <f>IF(F7="","",RANK(F7,$F$4:$F$23,0)+COUNTIF($F$4:F7,F7)-1)</f>
        <v/>
      </c>
      <c r="I7" s="8" t="n"/>
      <c r="J7" s="8" t="n"/>
      <c r="K7" s="9" t="n"/>
      <c r="L7" s="8" t="n"/>
      <c r="N7" s="5" t="n">
        <v>2</v>
      </c>
      <c r="O7" s="7">
        <f>COUNTIFS($D$4:$D$23,$N7,$E$4:$E$23,O$3)</f>
        <v/>
      </c>
      <c r="P7" s="7">
        <f>COUNTIFS($D$4:$D$23,$N7,$E$4:$E$23,P$3)</f>
        <v/>
      </c>
      <c r="Q7" s="7">
        <f>COUNTIFS($D$4:$D$23,$N7,$E$4:$E$23,Q$3)</f>
        <v/>
      </c>
      <c r="R7" s="7">
        <f>COUNTIFS($D$4:$D$23,$N7,$E$4:$E$23,R$3)</f>
        <v/>
      </c>
      <c r="S7" s="7">
        <f>COUNTIFS($D$4:$D$23,$N7,$E$4:$E$23,S$3)</f>
        <v/>
      </c>
    </row>
    <row r="8">
      <c r="A8" s="7" t="inlineStr">
        <is>
          <t>R05</t>
        </is>
      </c>
      <c r="B8" s="8" t="n"/>
      <c r="C8" s="8" t="n"/>
      <c r="D8" s="8" t="n"/>
      <c r="E8" s="8" t="n"/>
      <c r="F8" s="7">
        <f>IF(OR(D8="",E8=""),"",D8*E8)</f>
        <v/>
      </c>
      <c r="G8" s="7">
        <f>IF(F8="","",IF(F8&gt;=15,"High",IF(F8&gt;=8,"Medium","Low")))</f>
        <v/>
      </c>
      <c r="H8" s="7">
        <f>IF(F8="","",RANK(F8,$F$4:$F$23,0)+COUNTIF($F$4:F8,F8)-1)</f>
        <v/>
      </c>
      <c r="I8" s="8" t="n"/>
      <c r="J8" s="8" t="n"/>
      <c r="K8" s="9" t="n"/>
      <c r="L8" s="8" t="n"/>
      <c r="N8" s="5" t="n">
        <v>1</v>
      </c>
      <c r="O8" s="7">
        <f>COUNTIFS($D$4:$D$23,$N8,$E$4:$E$23,O$3)</f>
        <v/>
      </c>
      <c r="P8" s="7">
        <f>COUNTIFS($D$4:$D$23,$N8,$E$4:$E$23,P$3)</f>
        <v/>
      </c>
      <c r="Q8" s="7">
        <f>COUNTIFS($D$4:$D$23,$N8,$E$4:$E$23,Q$3)</f>
        <v/>
      </c>
      <c r="R8" s="7">
        <f>COUNTIFS($D$4:$D$23,$N8,$E$4:$E$23,R$3)</f>
        <v/>
      </c>
      <c r="S8" s="7">
        <f>COUNTIFS($D$4:$D$23,$N8,$E$4:$E$23,S$3)</f>
        <v/>
      </c>
    </row>
    <row r="9">
      <c r="A9" s="7" t="inlineStr">
        <is>
          <t>R06</t>
        </is>
      </c>
      <c r="B9" s="8" t="n"/>
      <c r="C9" s="8" t="n"/>
      <c r="D9" s="8" t="n"/>
      <c r="E9" s="8" t="n"/>
      <c r="F9" s="7">
        <f>IF(OR(D9="",E9=""),"",D9*E9)</f>
        <v/>
      </c>
      <c r="G9" s="7">
        <f>IF(F9="","",IF(F9&gt;=15,"High",IF(F9&gt;=8,"Medium","Low")))</f>
        <v/>
      </c>
      <c r="H9" s="7">
        <f>IF(F9="","",RANK(F9,$F$4:$F$23,0)+COUNTIF($F$4:F9,F9)-1)</f>
        <v/>
      </c>
      <c r="I9" s="8" t="n"/>
      <c r="J9" s="8" t="n"/>
      <c r="K9" s="9" t="n"/>
      <c r="L9" s="8" t="n"/>
    </row>
    <row r="10">
      <c r="A10" s="7" t="inlineStr">
        <is>
          <t>R07</t>
        </is>
      </c>
      <c r="B10" s="8" t="n"/>
      <c r="C10" s="8" t="n"/>
      <c r="D10" s="8" t="n"/>
      <c r="E10" s="8" t="n"/>
      <c r="F10" s="7">
        <f>IF(OR(D10="",E10=""),"",D10*E10)</f>
        <v/>
      </c>
      <c r="G10" s="7">
        <f>IF(F10="","",IF(F10&gt;=15,"High",IF(F10&gt;=8,"Medium","Low")))</f>
        <v/>
      </c>
      <c r="H10" s="7">
        <f>IF(F10="","",RANK(F10,$F$4:$F$23,0)+COUNTIF($F$4:F10,F10)-1)</f>
        <v/>
      </c>
      <c r="I10" s="8" t="n"/>
      <c r="J10" s="8" t="n"/>
      <c r="K10" s="9" t="n"/>
      <c r="L10" s="8" t="n"/>
    </row>
    <row r="11">
      <c r="A11" s="7" t="inlineStr">
        <is>
          <t>R08</t>
        </is>
      </c>
      <c r="B11" s="8" t="n"/>
      <c r="C11" s="8" t="n"/>
      <c r="D11" s="8" t="n"/>
      <c r="E11" s="8" t="n"/>
      <c r="F11" s="7">
        <f>IF(OR(D11="",E11=""),"",D11*E11)</f>
        <v/>
      </c>
      <c r="G11" s="7">
        <f>IF(F11="","",IF(F11&gt;=15,"High",IF(F11&gt;=8,"Medium","Low")))</f>
        <v/>
      </c>
      <c r="H11" s="7">
        <f>IF(F11="","",RANK(F11,$F$4:$F$23,0)+COUNTIF($F$4:F11,F11)-1)</f>
        <v/>
      </c>
      <c r="I11" s="8" t="n"/>
      <c r="J11" s="8" t="n"/>
      <c r="K11" s="9" t="n"/>
      <c r="L11" s="8" t="n"/>
    </row>
    <row r="12">
      <c r="A12" s="7" t="inlineStr">
        <is>
          <t>R09</t>
        </is>
      </c>
      <c r="B12" s="8" t="n"/>
      <c r="C12" s="8" t="n"/>
      <c r="D12" s="8" t="n"/>
      <c r="E12" s="8" t="n"/>
      <c r="F12" s="7">
        <f>IF(OR(D12="",E12=""),"",D12*E12)</f>
        <v/>
      </c>
      <c r="G12" s="7">
        <f>IF(F12="","",IF(F12&gt;=15,"High",IF(F12&gt;=8,"Medium","Low")))</f>
        <v/>
      </c>
      <c r="H12" s="7">
        <f>IF(F12="","",RANK(F12,$F$4:$F$23,0)+COUNTIF($F$4:F12,F12)-1)</f>
        <v/>
      </c>
      <c r="I12" s="8" t="n"/>
      <c r="J12" s="8" t="n"/>
      <c r="K12" s="9" t="n"/>
      <c r="L12" s="8" t="n"/>
    </row>
    <row r="13">
      <c r="A13" s="7" t="inlineStr">
        <is>
          <t>R10</t>
        </is>
      </c>
      <c r="B13" s="8" t="n"/>
      <c r="C13" s="8" t="n"/>
      <c r="D13" s="8" t="n"/>
      <c r="E13" s="8" t="n"/>
      <c r="F13" s="7">
        <f>IF(OR(D13="",E13=""),"",D13*E13)</f>
        <v/>
      </c>
      <c r="G13" s="7">
        <f>IF(F13="","",IF(F13&gt;=15,"High",IF(F13&gt;=8,"Medium","Low")))</f>
        <v/>
      </c>
      <c r="H13" s="7">
        <f>IF(F13="","",RANK(F13,$F$4:$F$23,0)+COUNTIF($F$4:F13,F13)-1)</f>
        <v/>
      </c>
      <c r="I13" s="8" t="n"/>
      <c r="J13" s="8" t="n"/>
      <c r="K13" s="9" t="n"/>
      <c r="L13" s="8" t="n"/>
    </row>
    <row r="14">
      <c r="A14" s="7" t="inlineStr">
        <is>
          <t>R11</t>
        </is>
      </c>
      <c r="B14" s="8" t="n"/>
      <c r="C14" s="8" t="n"/>
      <c r="D14" s="8" t="n"/>
      <c r="E14" s="8" t="n"/>
      <c r="F14" s="7">
        <f>IF(OR(D14="",E14=""),"",D14*E14)</f>
        <v/>
      </c>
      <c r="G14" s="7">
        <f>IF(F14="","",IF(F14&gt;=15,"High",IF(F14&gt;=8,"Medium","Low")))</f>
        <v/>
      </c>
      <c r="H14" s="7">
        <f>IF(F14="","",RANK(F14,$F$4:$F$23,0)+COUNTIF($F$4:F14,F14)-1)</f>
        <v/>
      </c>
      <c r="I14" s="8" t="n"/>
      <c r="J14" s="8" t="n"/>
      <c r="K14" s="9" t="n"/>
      <c r="L14" s="8" t="n"/>
    </row>
    <row r="15">
      <c r="A15" s="7" t="inlineStr">
        <is>
          <t>R12</t>
        </is>
      </c>
      <c r="B15" s="8" t="n"/>
      <c r="C15" s="8" t="n"/>
      <c r="D15" s="8" t="n"/>
      <c r="E15" s="8" t="n"/>
      <c r="F15" s="7">
        <f>IF(OR(D15="",E15=""),"",D15*E15)</f>
        <v/>
      </c>
      <c r="G15" s="7">
        <f>IF(F15="","",IF(F15&gt;=15,"High",IF(F15&gt;=8,"Medium","Low")))</f>
        <v/>
      </c>
      <c r="H15" s="7">
        <f>IF(F15="","",RANK(F15,$F$4:$F$23,0)+COUNTIF($F$4:F15,F15)-1)</f>
        <v/>
      </c>
      <c r="I15" s="8" t="n"/>
      <c r="J15" s="8" t="n"/>
      <c r="K15" s="9" t="n"/>
      <c r="L15" s="8" t="n"/>
    </row>
    <row r="16">
      <c r="A16" s="7" t="inlineStr">
        <is>
          <t>R13</t>
        </is>
      </c>
      <c r="B16" s="8" t="n"/>
      <c r="C16" s="8" t="n"/>
      <c r="D16" s="8" t="n"/>
      <c r="E16" s="8" t="n"/>
      <c r="F16" s="7">
        <f>IF(OR(D16="",E16=""),"",D16*E16)</f>
        <v/>
      </c>
      <c r="G16" s="7">
        <f>IF(F16="","",IF(F16&gt;=15,"High",IF(F16&gt;=8,"Medium","Low")))</f>
        <v/>
      </c>
      <c r="H16" s="7">
        <f>IF(F16="","",RANK(F16,$F$4:$F$23,0)+COUNTIF($F$4:F16,F16)-1)</f>
        <v/>
      </c>
      <c r="I16" s="8" t="n"/>
      <c r="J16" s="8" t="n"/>
      <c r="K16" s="9" t="n"/>
      <c r="L16" s="8" t="n"/>
    </row>
    <row r="17">
      <c r="A17" s="7" t="inlineStr">
        <is>
          <t>R14</t>
        </is>
      </c>
      <c r="B17" s="8" t="n"/>
      <c r="C17" s="8" t="n"/>
      <c r="D17" s="8" t="n"/>
      <c r="E17" s="8" t="n"/>
      <c r="F17" s="7">
        <f>IF(OR(D17="",E17=""),"",D17*E17)</f>
        <v/>
      </c>
      <c r="G17" s="7">
        <f>IF(F17="","",IF(F17&gt;=15,"High",IF(F17&gt;=8,"Medium","Low")))</f>
        <v/>
      </c>
      <c r="H17" s="7">
        <f>IF(F17="","",RANK(F17,$F$4:$F$23,0)+COUNTIF($F$4:F17,F17)-1)</f>
        <v/>
      </c>
      <c r="I17" s="8" t="n"/>
      <c r="J17" s="8" t="n"/>
      <c r="K17" s="9" t="n"/>
      <c r="L17" s="8" t="n"/>
    </row>
    <row r="18">
      <c r="A18" s="7" t="inlineStr">
        <is>
          <t>R15</t>
        </is>
      </c>
      <c r="B18" s="8" t="n"/>
      <c r="C18" s="8" t="n"/>
      <c r="D18" s="8" t="n"/>
      <c r="E18" s="8" t="n"/>
      <c r="F18" s="7">
        <f>IF(OR(D18="",E18=""),"",D18*E18)</f>
        <v/>
      </c>
      <c r="G18" s="7">
        <f>IF(F18="","",IF(F18&gt;=15,"High",IF(F18&gt;=8,"Medium","Low")))</f>
        <v/>
      </c>
      <c r="H18" s="7">
        <f>IF(F18="","",RANK(F18,$F$4:$F$23,0)+COUNTIF($F$4:F18,F18)-1)</f>
        <v/>
      </c>
      <c r="I18" s="8" t="n"/>
      <c r="J18" s="8" t="n"/>
      <c r="K18" s="9" t="n"/>
      <c r="L18" s="8" t="n"/>
    </row>
    <row r="19">
      <c r="A19" s="7" t="inlineStr">
        <is>
          <t>R16</t>
        </is>
      </c>
      <c r="B19" s="8" t="n"/>
      <c r="C19" s="8" t="n"/>
      <c r="D19" s="8" t="n"/>
      <c r="E19" s="8" t="n"/>
      <c r="F19" s="7">
        <f>IF(OR(D19="",E19=""),"",D19*E19)</f>
        <v/>
      </c>
      <c r="G19" s="7">
        <f>IF(F19="","",IF(F19&gt;=15,"High",IF(F19&gt;=8,"Medium","Low")))</f>
        <v/>
      </c>
      <c r="H19" s="7">
        <f>IF(F19="","",RANK(F19,$F$4:$F$23,0)+COUNTIF($F$4:F19,F19)-1)</f>
        <v/>
      </c>
      <c r="I19" s="8" t="n"/>
      <c r="J19" s="8" t="n"/>
      <c r="K19" s="9" t="n"/>
      <c r="L19" s="8" t="n"/>
    </row>
    <row r="20">
      <c r="A20" s="7" t="inlineStr">
        <is>
          <t>R17</t>
        </is>
      </c>
      <c r="B20" s="8" t="n"/>
      <c r="C20" s="8" t="n"/>
      <c r="D20" s="8" t="n"/>
      <c r="E20" s="8" t="n"/>
      <c r="F20" s="7">
        <f>IF(OR(D20="",E20=""),"",D20*E20)</f>
        <v/>
      </c>
      <c r="G20" s="7">
        <f>IF(F20="","",IF(F20&gt;=15,"High",IF(F20&gt;=8,"Medium","Low")))</f>
        <v/>
      </c>
      <c r="H20" s="7">
        <f>IF(F20="","",RANK(F20,$F$4:$F$23,0)+COUNTIF($F$4:F20,F20)-1)</f>
        <v/>
      </c>
      <c r="I20" s="8" t="n"/>
      <c r="J20" s="8" t="n"/>
      <c r="K20" s="9" t="n"/>
      <c r="L20" s="8" t="n"/>
    </row>
    <row r="21">
      <c r="A21" s="7" t="inlineStr">
        <is>
          <t>R18</t>
        </is>
      </c>
      <c r="B21" s="8" t="n"/>
      <c r="C21" s="8" t="n"/>
      <c r="D21" s="8" t="n"/>
      <c r="E21" s="8" t="n"/>
      <c r="F21" s="7">
        <f>IF(OR(D21="",E21=""),"",D21*E21)</f>
        <v/>
      </c>
      <c r="G21" s="7">
        <f>IF(F21="","",IF(F21&gt;=15,"High",IF(F21&gt;=8,"Medium","Low")))</f>
        <v/>
      </c>
      <c r="H21" s="7">
        <f>IF(F21="","",RANK(F21,$F$4:$F$23,0)+COUNTIF($F$4:F21,F21)-1)</f>
        <v/>
      </c>
      <c r="I21" s="8" t="n"/>
      <c r="J21" s="8" t="n"/>
      <c r="K21" s="9" t="n"/>
      <c r="L21" s="8" t="n"/>
    </row>
    <row r="22">
      <c r="A22" s="7" t="inlineStr">
        <is>
          <t>R19</t>
        </is>
      </c>
      <c r="B22" s="8" t="n"/>
      <c r="C22" s="8" t="n"/>
      <c r="D22" s="8" t="n"/>
      <c r="E22" s="8" t="n"/>
      <c r="F22" s="7">
        <f>IF(OR(D22="",E22=""),"",D22*E22)</f>
        <v/>
      </c>
      <c r="G22" s="7">
        <f>IF(F22="","",IF(F22&gt;=15,"High",IF(F22&gt;=8,"Medium","Low")))</f>
        <v/>
      </c>
      <c r="H22" s="7">
        <f>IF(F22="","",RANK(F22,$F$4:$F$23,0)+COUNTIF($F$4:F22,F22)-1)</f>
        <v/>
      </c>
      <c r="I22" s="8" t="n"/>
      <c r="J22" s="8" t="n"/>
      <c r="K22" s="9" t="n"/>
      <c r="L22" s="8" t="n"/>
    </row>
    <row r="23">
      <c r="A23" s="7" t="inlineStr">
        <is>
          <t>R20</t>
        </is>
      </c>
      <c r="B23" s="8" t="n"/>
      <c r="C23" s="8" t="n"/>
      <c r="D23" s="8" t="n"/>
      <c r="E23" s="8" t="n"/>
      <c r="F23" s="7">
        <f>IF(OR(D23="",E23=""),"",D23*E23)</f>
        <v/>
      </c>
      <c r="G23" s="7">
        <f>IF(F23="","",IF(F23&gt;=15,"High",IF(F23&gt;=8,"Medium","Low")))</f>
        <v/>
      </c>
      <c r="H23" s="7">
        <f>IF(F23="","",RANK(F23,$F$4:$F$23,0)+COUNTIF($F$4:F23,F23)-1)</f>
        <v/>
      </c>
      <c r="I23" s="8" t="n"/>
      <c r="J23" s="8" t="n"/>
      <c r="K23" s="9" t="n"/>
      <c r="L23" s="8" t="n"/>
    </row>
    <row r="25">
      <c r="A25" s="5" t="inlineStr">
        <is>
          <t>High risks</t>
        </is>
      </c>
      <c r="C25" s="10">
        <f>COUNTIF(G4:G23,"High")</f>
        <v/>
      </c>
    </row>
    <row r="26">
      <c r="A26" s="5" t="inlineStr">
        <is>
          <t>Medium risks</t>
        </is>
      </c>
      <c r="C26" s="10">
        <f>COUNTIF(G4:G23,"Medium")</f>
        <v/>
      </c>
    </row>
    <row r="27">
      <c r="A27" s="5" t="inlineStr">
        <is>
          <t>Low risks</t>
        </is>
      </c>
      <c r="C27" s="10">
        <f>COUNTIF(G4:G23,"Low")</f>
        <v/>
      </c>
    </row>
  </sheetData>
  <dataValidations count="3">
    <dataValidation sqref="D4:E23" showDropDown="0" showInputMessage="0" showErrorMessage="0" allowBlank="1" errorTitle="Rating" error="Enter 1 to 5." type="list">
      <formula1>"1,2,3,4,5"</formula1>
    </dataValidation>
    <dataValidation sqref="C4:C23" showDropDown="0" showInputMessage="0" showErrorMessage="0" allowBlank="1" type="list">
      <formula1>"Data quality,Privacy and law,Security,Model or search quality,Vendor and cost,People and skills,Operations"</formula1>
    </dataValidation>
    <dataValidation sqref="L4:L23" showDropDown="0" showInputMessage="0" showErrorMessage="0" allowBlank="1" type="list">
      <formula1>"Open,Mitigating,Accepted,Closed"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Kitara course build</dc:creator>
  <dcterms:created xmlns:dcterms="http://purl.org/dc/terms/" xmlns:xsi="http://www.w3.org/2001/XMLSchema-instance" xsi:type="dcterms:W3CDTF">2026-10-29T09:00:00Z</dcterms:created>
  <dcterms:modified xmlns:dcterms="http://purl.org/dc/terms/" xmlns:xsi="http://www.w3.org/2001/XMLSchema-instance" xsi:type="dcterms:W3CDTF">2026-10-29T09:00:00Z</dcterms:modified>
</cp:coreProperties>
</file>