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Levels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4" fillId="0" borderId="1" applyAlignment="1" pivotButton="0" quotePrefix="0" xfId="0">
      <alignment vertical="bottom" wrapText="1"/>
    </xf>
    <xf numFmtId="0" fontId="2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0" borderId="2" pivotButton="0" quotePrefix="0" xfId="0"/>
    <xf numFmtId="2" fontId="2" fillId="0" borderId="2" pivotButton="0" quotePrefix="0" xfId="0"/>
    <xf numFmtId="0" fontId="2" fillId="2" borderId="2" pivotButton="0" quotePrefix="0" xfId="0"/>
    <xf numFmtId="2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Readiness Scorecard (Kitara example): Enterprise Data Readiness for AI</t>
        </is>
      </c>
    </row>
    <row r="3">
      <c r="A3" s="2" t="inlineStr">
        <is>
          <t>Score your organisation on five dimensions. Each dimension has up to six evidence rows.</t>
        </is>
      </c>
    </row>
    <row r="4">
      <c r="A4" s="2" t="inlineStr">
        <is>
          <t>1. Write one piece of evidence per row (a document, a report, a system screen) and name the person who could verify it.</t>
        </is>
      </c>
    </row>
    <row r="5">
      <c r="A5" s="2" t="inlineStr">
        <is>
          <t>2. Give the item a score from 1 to 5. The Levels guide sheet describes each level.</t>
        </is>
      </c>
    </row>
    <row r="6">
      <c r="A6" s="2" t="inlineStr">
        <is>
          <t>3. Set Evidence seen to Y only when someone outside your team has seen the evidence. Leave it N when the score rests on what someone told you.</t>
        </is>
      </c>
    </row>
    <row r="7">
      <c r="A7" s="2" t="inlineStr">
        <is>
          <t>4. Read the summary under the table. The evidence-adjusted mean counts only the rows with Evidence seen = Y.</t>
        </is>
      </c>
    </row>
    <row r="8">
      <c r="A8" s="2" t="inlineStr">
        <is>
          <t>5. Set a target level for each dimension. The gap shows how far each dimension has to move.</t>
        </is>
      </c>
    </row>
    <row r="9">
      <c r="A9" s="2" t="inlineStr">
        <is>
          <t>Do not score a row without evidence. A blank row is better than a guess.</t>
        </is>
      </c>
    </row>
    <row r="10"/>
    <row r="11">
      <c r="A11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0" customWidth="1" min="2" max="2"/>
    <col width="52" customWidth="1" min="3" max="3"/>
    <col width="30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Readiness Scorecard (Kitara example)</t>
        </is>
      </c>
    </row>
    <row r="2">
      <c r="A2" s="4" t="inlineStr">
        <is>
          <t>Organisation:</t>
        </is>
      </c>
      <c r="B2" s="5" t="inlineStr">
        <is>
          <t>Kitara Group (fictional)</t>
        </is>
      </c>
      <c r="D2" s="4" t="inlineStr">
        <is>
          <t>Date scored:</t>
        </is>
      </c>
      <c r="E2" s="5" t="inlineStr">
        <is>
          <t>2026-10-29</t>
        </is>
      </c>
    </row>
    <row r="4">
      <c r="A4" s="6" t="inlineStr">
        <is>
          <t>Dimension</t>
        </is>
      </c>
      <c r="B4" s="6" t="inlineStr">
        <is>
          <t>Evidence item</t>
        </is>
      </c>
      <c r="C4" s="6" t="inlineStr">
        <is>
          <t>What exists (the evidence)</t>
        </is>
      </c>
      <c r="D4" s="6" t="inlineStr">
        <is>
          <t>Who could verify it</t>
        </is>
      </c>
      <c r="E4" s="6" t="inlineStr">
        <is>
          <t>Score (1 to 5)</t>
        </is>
      </c>
      <c r="F4" s="6" t="inlineStr">
        <is>
          <t>Evidence seen (Y/N)</t>
        </is>
      </c>
      <c r="G4" s="6" t="inlineStr">
        <is>
          <t>Level name</t>
        </is>
      </c>
    </row>
    <row r="5">
      <c r="A5" s="7" t="inlineStr">
        <is>
          <t>Use cases and sponsorship</t>
        </is>
      </c>
      <c r="B5" s="8" t="inlineStr">
        <is>
          <t>Named executive sponsor</t>
        </is>
      </c>
      <c r="C5" s="8" t="inlineStr">
        <is>
          <t>The chief executive says in interviews that AI is a board priority. No written mandate or budget owner.</t>
        </is>
      </c>
      <c r="D5" s="8" t="inlineStr">
        <is>
          <t>Company Secretary (board papers)</t>
        </is>
      </c>
      <c r="E5" s="8" t="n">
        <v>4</v>
      </c>
      <c r="F5" s="8" t="inlineStr">
        <is>
          <t>N</t>
        </is>
      </c>
      <c r="G5" s="9">
        <f>IF(E5="","",INDEX('Levels guide'!$B$2:$B$6,E5))</f>
        <v/>
      </c>
    </row>
    <row r="6">
      <c r="A6" s="7" t="inlineStr">
        <is>
          <t>Use cases and sponsorship</t>
        </is>
      </c>
      <c r="B6" s="8" t="inlineStr">
        <is>
          <t>List of candidate use cases</t>
        </is>
      </c>
      <c r="C6" s="8" t="inlineStr">
        <is>
          <t>Eleven ideas were listed on one workshop slide in May 2026. No owners or data needs.</t>
        </is>
      </c>
      <c r="D6" s="8" t="inlineStr">
        <is>
          <t>Head of IT</t>
        </is>
      </c>
      <c r="E6" s="8" t="n">
        <v>4</v>
      </c>
      <c r="F6" s="8" t="inlineStr">
        <is>
          <t>N</t>
        </is>
      </c>
      <c r="G6" s="9">
        <f>IF(E6="","",INDEX('Levels guide'!$B$2:$B$6,E6))</f>
        <v/>
      </c>
    </row>
    <row r="7">
      <c r="A7" s="7" t="inlineStr">
        <is>
          <t>Use cases and sponsorship</t>
        </is>
      </c>
      <c r="B7" s="8" t="inlineStr">
        <is>
          <t>Business case for the first use</t>
        </is>
      </c>
      <c r="C7" s="8" t="inlineStr">
        <is>
          <t>A one-page case for document search over policies, with a pilot budget approved by IT Steering on 9 June 2026.</t>
        </is>
      </c>
      <c r="D7" s="8" t="inlineStr">
        <is>
          <t>Chair of IT Steering Committee</t>
        </is>
      </c>
      <c r="E7" s="8" t="n">
        <v>3</v>
      </c>
      <c r="F7" s="8" t="inlineStr">
        <is>
          <t>Y</t>
        </is>
      </c>
      <c r="G7" s="9">
        <f>IF(E7="","",INDEX('Levels guide'!$B$2:$B$6,E7))</f>
        <v/>
      </c>
    </row>
    <row r="8">
      <c r="A8" s="7" t="inlineStr">
        <is>
          <t>Use cases and sponsorship</t>
        </is>
      </c>
      <c r="B8" s="8" t="inlineStr">
        <is>
          <t>Funded budget</t>
        </is>
      </c>
      <c r="C8" s="8" t="inlineStr">
        <is>
          <t>UGX 38,000,000 pilot budget approved. No multi-year budget.</t>
        </is>
      </c>
      <c r="D8" s="8" t="inlineStr">
        <is>
          <t>Chief Finance Officer</t>
        </is>
      </c>
      <c r="E8" s="8" t="n">
        <v>2</v>
      </c>
      <c r="F8" s="8" t="inlineStr">
        <is>
          <t>Y</t>
        </is>
      </c>
      <c r="G8" s="9">
        <f>IF(E8="","",INDEX('Levels guide'!$B$2:$B$6,E8))</f>
        <v/>
      </c>
    </row>
    <row r="9">
      <c r="A9" s="7" t="inlineStr">
        <is>
          <t>Use cases and sponsorship</t>
        </is>
      </c>
      <c r="B9" s="8" t="inlineStr">
        <is>
          <t>Success measures</t>
        </is>
      </c>
      <c r="C9" s="8" t="inlineStr">
        <is>
          <t>No baseline for time to find an answer or days to settle a claim. Only the claims ratio is reported.</t>
        </is>
      </c>
      <c r="D9" s="8" t="inlineStr">
        <is>
          <t>Head of Claims</t>
        </is>
      </c>
      <c r="E9" s="8" t="n">
        <v>2</v>
      </c>
      <c r="F9" s="8" t="inlineStr">
        <is>
          <t>Y</t>
        </is>
      </c>
      <c r="G9" s="9">
        <f>IF(E9="","",INDEX('Levels guide'!$B$2:$B$6,E9))</f>
        <v/>
      </c>
    </row>
    <row r="10">
      <c r="A10" s="7" t="inlineStr">
        <is>
          <t>Use cases and sponsorship</t>
        </is>
      </c>
      <c r="B10" s="8" t="n"/>
      <c r="C10" s="8" t="n"/>
      <c r="D10" s="8" t="n"/>
      <c r="E10" s="8" t="n"/>
      <c r="F10" s="8" t="n"/>
      <c r="G10" s="9">
        <f>IF(E10="","",INDEX('Levels guide'!$B$2:$B$6,E10))</f>
        <v/>
      </c>
    </row>
    <row r="11">
      <c r="A11" s="7" t="inlineStr">
        <is>
          <t>Data: inventory, quality and metadata</t>
        </is>
      </c>
      <c r="B11" s="8" t="inlineStr">
        <is>
          <t>Source inventory</t>
        </is>
      </c>
      <c r="C11" s="8" t="inlineStr">
        <is>
          <t>A spreadsheet of 14 sources compiled for IT Steering. Four have no owner, five have no sensitivity class, none is in a catalogue.</t>
        </is>
      </c>
      <c r="D11" s="8" t="inlineStr">
        <is>
          <t>IT Steering Committee secretary</t>
        </is>
      </c>
      <c r="E11" s="8" t="n">
        <v>2</v>
      </c>
      <c r="F11" s="8" t="inlineStr">
        <is>
          <t>Y</t>
        </is>
      </c>
      <c r="G11" s="9">
        <f>IF(E11="","",INDEX('Levels guide'!$B$2:$B$6,E11))</f>
        <v/>
      </c>
    </row>
    <row r="12">
      <c r="A12" s="7" t="inlineStr">
        <is>
          <t>Data: inventory, quality and metadata</t>
        </is>
      </c>
      <c r="B12" s="8" t="inlineStr">
        <is>
          <t>Quality monitoring</t>
        </is>
      </c>
      <c r="C12" s="8" t="inlineStr">
        <is>
          <t>Finance says customer data is checked every month. No rule list or result log was provided.</t>
        </is>
      </c>
      <c r="D12" s="8" t="inlineStr">
        <is>
          <t>Head of Retail Banking Operations</t>
        </is>
      </c>
      <c r="E12" s="8" t="n">
        <v>3</v>
      </c>
      <c r="F12" s="8" t="inlineStr">
        <is>
          <t>N</t>
        </is>
      </c>
      <c r="G12" s="9">
        <f>IF(E12="","",INDEX('Levels guide'!$B$2:$B$6,E12))</f>
        <v/>
      </c>
    </row>
    <row r="13">
      <c r="A13" s="7" t="inlineStr">
        <is>
          <t>Data: inventory, quality and metadata</t>
        </is>
      </c>
      <c r="B13" s="8" t="inlineStr">
        <is>
          <t>Metadata and catalogue</t>
        </is>
      </c>
      <c r="C13" s="8" t="inlineStr">
        <is>
          <t>No catalogue. Column meanings are in two PDF files from the core banking vendor.</t>
        </is>
      </c>
      <c r="D13" s="8" t="inlineStr">
        <is>
          <t>Core Banking Data Analyst</t>
        </is>
      </c>
      <c r="E13" s="8" t="n">
        <v>1</v>
      </c>
      <c r="F13" s="8" t="inlineStr">
        <is>
          <t>Y</t>
        </is>
      </c>
      <c r="G13" s="9">
        <f>IF(E13="","",INDEX('Levels guide'!$B$2:$B$6,E13))</f>
        <v/>
      </c>
    </row>
    <row r="14">
      <c r="A14" s="7" t="inlineStr">
        <is>
          <t>Data: inventory, quality and metadata</t>
        </is>
      </c>
      <c r="B14" s="8" t="inlineStr">
        <is>
          <t>Document version control</t>
        </is>
      </c>
      <c r="C14" s="8" t="inlineStr">
        <is>
          <t>The shared drive holds about 14,000 files. Three editions of the staff handbook sit in one folder.</t>
        </is>
      </c>
      <c r="D14" s="8" t="inlineStr">
        <is>
          <t>Head of Legal and Compliance</t>
        </is>
      </c>
      <c r="E14" s="8" t="n">
        <v>1</v>
      </c>
      <c r="F14" s="8" t="inlineStr">
        <is>
          <t>Y</t>
        </is>
      </c>
      <c r="G14" s="9">
        <f>IF(E14="","",INDEX('Levels guide'!$B$2:$B$6,E14))</f>
        <v/>
      </c>
    </row>
    <row r="15">
      <c r="A15" s="7" t="inlineStr">
        <is>
          <t>Data: inventory, quality and metadata</t>
        </is>
      </c>
      <c r="B15" s="8" t="inlineStr">
        <is>
          <t>Customer master data</t>
        </is>
      </c>
      <c r="C15" s="8" t="inlineStr">
        <is>
          <t>The head of retail says one customer ID is used across systems. The Risk Committee noted two regulatory returns corrected because of duplicate customer records.</t>
        </is>
      </c>
      <c r="D15" s="8" t="inlineStr">
        <is>
          <t>Head of Risk</t>
        </is>
      </c>
      <c r="E15" s="8" t="n">
        <v>3</v>
      </c>
      <c r="F15" s="8" t="inlineStr">
        <is>
          <t>N</t>
        </is>
      </c>
      <c r="G15" s="9">
        <f>IF(E15="","",INDEX('Levels guide'!$B$2:$B$6,E15))</f>
        <v/>
      </c>
    </row>
    <row r="16">
      <c r="A16" s="7" t="inlineStr">
        <is>
          <t>Data: inventory, quality and metadata</t>
        </is>
      </c>
      <c r="B16" s="8" t="n"/>
      <c r="C16" s="8" t="n"/>
      <c r="D16" s="8" t="n"/>
      <c r="E16" s="8" t="n"/>
      <c r="F16" s="8" t="n"/>
      <c r="G16" s="9">
        <f>IF(E16="","",INDEX('Levels guide'!$B$2:$B$6,E16))</f>
        <v/>
      </c>
    </row>
    <row r="17">
      <c r="A17" s="7" t="inlineStr">
        <is>
          <t>Platform and pipelines</t>
        </is>
      </c>
      <c r="B17" s="8" t="inlineStr">
        <is>
          <t>Core data extract</t>
        </is>
      </c>
      <c r="C17" s="8" t="inlineStr">
        <is>
          <t>Nightly extract from core banking to a reporting database. Run log kept for 90 days.</t>
        </is>
      </c>
      <c r="D17" s="8" t="inlineStr">
        <is>
          <t>IT operations lead</t>
        </is>
      </c>
      <c r="E17" s="8" t="n">
        <v>3</v>
      </c>
      <c r="F17" s="8" t="inlineStr">
        <is>
          <t>Y</t>
        </is>
      </c>
      <c r="G17" s="9">
        <f>IF(E17="","",INDEX('Levels guide'!$B$2:$B$6,E17))</f>
        <v/>
      </c>
    </row>
    <row r="18">
      <c r="A18" s="7" t="inlineStr">
        <is>
          <t>Platform and pipelines</t>
        </is>
      </c>
      <c r="B18" s="8" t="inlineStr">
        <is>
          <t>Backup and recovery</t>
        </is>
      </c>
      <c r="C18" s="8" t="inlineStr">
        <is>
          <t>Business Continuity Plan sets four hours for core banking. A recovery test is held each March.</t>
        </is>
      </c>
      <c r="D18" s="8" t="inlineStr">
        <is>
          <t>Head of Risk</t>
        </is>
      </c>
      <c r="E18" s="8" t="n">
        <v>3</v>
      </c>
      <c r="F18" s="8" t="inlineStr">
        <is>
          <t>Y</t>
        </is>
      </c>
      <c r="G18" s="9">
        <f>IF(E18="","",INDEX('Levels guide'!$B$2:$B$6,E18))</f>
        <v/>
      </c>
    </row>
    <row r="19">
      <c r="A19" s="7" t="inlineStr">
        <is>
          <t>Platform and pipelines</t>
        </is>
      </c>
      <c r="B19" s="8" t="inlineStr">
        <is>
          <t>Analytics platform</t>
        </is>
      </c>
      <c r="C19" s="8" t="inlineStr">
        <is>
          <t>IT reports a reporting database and a data lake 'in progress'. No access was shown to the assessor.</t>
        </is>
      </c>
      <c r="D19" s="8" t="inlineStr">
        <is>
          <t>Head of IT</t>
        </is>
      </c>
      <c r="E19" s="8" t="n">
        <v>3</v>
      </c>
      <c r="F19" s="8" t="inlineStr">
        <is>
          <t>N</t>
        </is>
      </c>
      <c r="G19" s="9">
        <f>IF(E19="","",INDEX('Levels guide'!$B$2:$B$6,E19))</f>
        <v/>
      </c>
    </row>
    <row r="20">
      <c r="A20" s="7" t="inlineStr">
        <is>
          <t>Platform and pipelines</t>
        </is>
      </c>
      <c r="B20" s="8" t="inlineStr">
        <is>
          <t>Pipeline orchestration</t>
        </is>
      </c>
      <c r="C20" s="8" t="inlineStr">
        <is>
          <t>Scheduled jobs on two servers using cron. No dependency, retry or alert logic.</t>
        </is>
      </c>
      <c r="D20" s="8" t="inlineStr">
        <is>
          <t>IT operations lead</t>
        </is>
      </c>
      <c r="E20" s="8" t="n">
        <v>2</v>
      </c>
      <c r="F20" s="8" t="inlineStr">
        <is>
          <t>Y</t>
        </is>
      </c>
      <c r="G20" s="9">
        <f>IF(E20="","",INDEX('Levels guide'!$B$2:$B$6,E20))</f>
        <v/>
      </c>
    </row>
    <row r="21">
      <c r="A21" s="7" t="inlineStr">
        <is>
          <t>Platform and pipelines</t>
        </is>
      </c>
      <c r="B21" s="8" t="inlineStr">
        <is>
          <t>Monitoring of data freshness</t>
        </is>
      </c>
      <c r="C21" s="8" t="inlineStr">
        <is>
          <t>No freshness or volume alerts. A six-hour gap in the mobile money log was found by hand.</t>
        </is>
      </c>
      <c r="D21" s="8" t="inlineStr">
        <is>
          <t>IT operations lead</t>
        </is>
      </c>
      <c r="E21" s="8" t="n">
        <v>2</v>
      </c>
      <c r="F21" s="8" t="inlineStr">
        <is>
          <t>Y</t>
        </is>
      </c>
      <c r="G21" s="9">
        <f>IF(E21="","",INDEX('Levels guide'!$B$2:$B$6,E21))</f>
        <v/>
      </c>
    </row>
    <row r="22">
      <c r="A22" s="7" t="inlineStr">
        <is>
          <t>Platform and pipelines</t>
        </is>
      </c>
      <c r="B22" s="8" t="inlineStr">
        <is>
          <t>Environment for AI work</t>
        </is>
      </c>
      <c r="C22" s="8" t="inlineStr">
        <is>
          <t>An internal AI sandbox pilot is approved. It is not yet built.</t>
        </is>
      </c>
      <c r="D22" s="8" t="inlineStr">
        <is>
          <t>Head of IT</t>
        </is>
      </c>
      <c r="E22" s="8" t="n">
        <v>2</v>
      </c>
      <c r="F22" s="8" t="inlineStr">
        <is>
          <t>Y</t>
        </is>
      </c>
      <c r="G22" s="9">
        <f>IF(E22="","",INDEX('Levels guide'!$B$2:$B$6,E22))</f>
        <v/>
      </c>
    </row>
    <row r="23">
      <c r="A23" s="7" t="inlineStr">
        <is>
          <t>Protection and law</t>
        </is>
      </c>
      <c r="B23" s="8" t="inlineStr">
        <is>
          <t>Registration and data protection officer</t>
        </is>
      </c>
      <c r="C23" s="8" t="inlineStr">
        <is>
          <t>Kitara says it is registered with the data protection regulator and has named an officer. The certificate was not seen.</t>
        </is>
      </c>
      <c r="D23" s="8" t="inlineStr">
        <is>
          <t>Head of Legal and Compliance</t>
        </is>
      </c>
      <c r="E23" s="8" t="n">
        <v>4</v>
      </c>
      <c r="F23" s="8" t="inlineStr">
        <is>
          <t>N</t>
        </is>
      </c>
      <c r="G23" s="9">
        <f>IF(E23="","",INDEX('Levels guide'!$B$2:$B$6,E23))</f>
        <v/>
      </c>
    </row>
    <row r="24">
      <c r="A24" s="7" t="inlineStr">
        <is>
          <t>Protection and law</t>
        </is>
      </c>
      <c r="B24" s="8" t="inlineStr">
        <is>
          <t>Breach procedure</t>
        </is>
      </c>
      <c r="C24" s="8" t="inlineStr">
        <is>
          <t>The Information Security Policy sets one hour to report internally and 72 hours to report to the regulator.</t>
        </is>
      </c>
      <c r="D24" s="8" t="inlineStr">
        <is>
          <t>Head of IT Security</t>
        </is>
      </c>
      <c r="E24" s="8" t="n">
        <v>3</v>
      </c>
      <c r="F24" s="8" t="inlineStr">
        <is>
          <t>Y</t>
        </is>
      </c>
      <c r="G24" s="9">
        <f>IF(E24="","",INDEX('Levels guide'!$B$2:$B$6,E24))</f>
        <v/>
      </c>
    </row>
    <row r="25">
      <c r="A25" s="7" t="inlineStr">
        <is>
          <t>Protection and law</t>
        </is>
      </c>
      <c r="B25" s="8" t="inlineStr">
        <is>
          <t>Classification scheme</t>
        </is>
      </c>
      <c r="C25" s="8" t="inlineStr">
        <is>
          <t>The Data Classification Standard has four classes. Two sources in the inventory carry the wrong class.</t>
        </is>
      </c>
      <c r="D25" s="8" t="inlineStr">
        <is>
          <t>Head of Legal and Compliance</t>
        </is>
      </c>
      <c r="E25" s="8" t="n">
        <v>3</v>
      </c>
      <c r="F25" s="8" t="inlineStr">
        <is>
          <t>Y</t>
        </is>
      </c>
      <c r="G25" s="9">
        <f>IF(E25="","",INDEX('Levels guide'!$B$2:$B$6,E25))</f>
        <v/>
      </c>
    </row>
    <row r="26">
      <c r="A26" s="7" t="inlineStr">
        <is>
          <t>Protection and law</t>
        </is>
      </c>
      <c r="B26" s="8" t="inlineStr">
        <is>
          <t>Retention schedule</t>
        </is>
      </c>
      <c r="C26" s="8" t="inlineStr">
        <is>
          <t>A retention schedule exists. Legal says it is applied. No destruction list was provided.</t>
        </is>
      </c>
      <c r="D26" s="8" t="inlineStr">
        <is>
          <t>Head of Legal and Compliance</t>
        </is>
      </c>
      <c r="E26" s="8" t="n">
        <v>3</v>
      </c>
      <c r="F26" s="8" t="inlineStr">
        <is>
          <t>N</t>
        </is>
      </c>
      <c r="G26" s="9">
        <f>IF(E26="","",INDEX('Levels guide'!$B$2:$B$6,E26))</f>
        <v/>
      </c>
    </row>
    <row r="27">
      <c r="A27" s="7" t="inlineStr">
        <is>
          <t>Protection and law</t>
        </is>
      </c>
      <c r="B27" s="8" t="inlineStr">
        <is>
          <t>Cross-border data flows</t>
        </is>
      </c>
      <c r="C27" s="8" t="inlineStr">
        <is>
          <t>Kitara Kenya data is processed in Kampala. No transfer assessment is on file.</t>
        </is>
      </c>
      <c r="D27" s="8" t="inlineStr">
        <is>
          <t>Head of Legal and Compliance</t>
        </is>
      </c>
      <c r="E27" s="8" t="n">
        <v>2</v>
      </c>
      <c r="F27" s="8" t="inlineStr">
        <is>
          <t>Y</t>
        </is>
      </c>
      <c r="G27" s="9">
        <f>IF(E27="","",INDEX('Levels guide'!$B$2:$B$6,E27))</f>
        <v/>
      </c>
    </row>
    <row r="28">
      <c r="A28" s="7" t="inlineStr">
        <is>
          <t>Protection and law</t>
        </is>
      </c>
      <c r="B28" s="8" t="n"/>
      <c r="C28" s="8" t="n"/>
      <c r="D28" s="8" t="n"/>
      <c r="E28" s="8" t="n"/>
      <c r="F28" s="8" t="n"/>
      <c r="G28" s="9">
        <f>IF(E28="","",INDEX('Levels guide'!$B$2:$B$6,E28))</f>
        <v/>
      </c>
    </row>
    <row r="29">
      <c r="A29" s="7" t="inlineStr">
        <is>
          <t>People and governance</t>
        </is>
      </c>
      <c r="B29" s="8" t="inlineStr">
        <is>
          <t>Named data owners</t>
        </is>
      </c>
      <c r="C29" s="8" t="inlineStr">
        <is>
          <t>Ten of 14 sources have an owner. Two owners are recorded as IT while a business unit also claims the source.</t>
        </is>
      </c>
      <c r="D29" s="8" t="inlineStr">
        <is>
          <t>Head of IT</t>
        </is>
      </c>
      <c r="E29" s="8" t="n">
        <v>1</v>
      </c>
      <c r="F29" s="8" t="inlineStr">
        <is>
          <t>Y</t>
        </is>
      </c>
      <c r="G29" s="9">
        <f>IF(E29="","",INDEX('Levels guide'!$B$2:$B$6,E29))</f>
        <v/>
      </c>
    </row>
    <row r="30">
      <c r="A30" s="7" t="inlineStr">
        <is>
          <t>People and governance</t>
        </is>
      </c>
      <c r="B30" s="8" t="inlineStr">
        <is>
          <t>Data governance forum</t>
        </is>
      </c>
      <c r="C30" s="8" t="inlineStr">
        <is>
          <t>The heads say a data council meets informally. There are no minutes.</t>
        </is>
      </c>
      <c r="D30" s="8" t="inlineStr">
        <is>
          <t>Company Secretary</t>
        </is>
      </c>
      <c r="E30" s="8" t="n">
        <v>2</v>
      </c>
      <c r="F30" s="8" t="inlineStr">
        <is>
          <t>N</t>
        </is>
      </c>
      <c r="G30" s="9">
        <f>IF(E30="","",INDEX('Levels guide'!$B$2:$B$6,E30))</f>
        <v/>
      </c>
    </row>
    <row r="31">
      <c r="A31" s="7" t="inlineStr">
        <is>
          <t>People and governance</t>
        </is>
      </c>
      <c r="B31" s="8" t="inlineStr">
        <is>
          <t>Policies for data and AI</t>
        </is>
      </c>
      <c r="C31" s="8" t="inlineStr">
        <is>
          <t>Classification, retention and acceptable AI use policies exist and were published in 2024 to 2026.</t>
        </is>
      </c>
      <c r="D31" s="8" t="inlineStr">
        <is>
          <t>Head of Legal and Compliance</t>
        </is>
      </c>
      <c r="E31" s="8" t="n">
        <v>2</v>
      </c>
      <c r="F31" s="8" t="inlineStr">
        <is>
          <t>Y</t>
        </is>
      </c>
      <c r="G31" s="9">
        <f>IF(E31="","",INDEX('Levels guide'!$B$2:$B$6,E31))</f>
        <v/>
      </c>
    </row>
    <row r="32">
      <c r="A32" s="7" t="inlineStr">
        <is>
          <t>People and governance</t>
        </is>
      </c>
      <c r="B32" s="8" t="inlineStr">
        <is>
          <t>Data and AI skills</t>
        </is>
      </c>
      <c r="C32" s="8" t="inlineStr">
        <is>
          <t>Two analysts in Finance and Risk. No data engineer. No AI training for staff.</t>
        </is>
      </c>
      <c r="D32" s="8" t="inlineStr">
        <is>
          <t>Head of Human Resources</t>
        </is>
      </c>
      <c r="E32" s="8" t="n">
        <v>1</v>
      </c>
      <c r="F32" s="8" t="inlineStr">
        <is>
          <t>Y</t>
        </is>
      </c>
      <c r="G32" s="9">
        <f>IF(E32="","",INDEX('Levels guide'!$B$2:$B$6,E32))</f>
        <v/>
      </c>
    </row>
    <row r="33">
      <c r="A33" s="7" t="inlineStr">
        <is>
          <t>People and governance</t>
        </is>
      </c>
      <c r="B33" s="8" t="n"/>
      <c r="C33" s="8" t="n"/>
      <c r="D33" s="8" t="n"/>
      <c r="E33" s="8" t="n"/>
      <c r="F33" s="8" t="n"/>
      <c r="G33" s="9">
        <f>IF(E33="","",INDEX('Levels guide'!$B$2:$B$6,E33))</f>
        <v/>
      </c>
    </row>
    <row r="34">
      <c r="A34" s="7" t="inlineStr">
        <is>
          <t>People and governance</t>
        </is>
      </c>
      <c r="B34" s="8" t="n"/>
      <c r="C34" s="8" t="n"/>
      <c r="D34" s="8" t="n"/>
      <c r="E34" s="8" t="n"/>
      <c r="F34" s="8" t="n"/>
      <c r="G34" s="9">
        <f>IF(E34="","",INDEX('Levels guide'!$B$2:$B$6,E34))</f>
        <v/>
      </c>
    </row>
    <row r="36">
      <c r="A36" s="4" t="inlineStr">
        <is>
          <t>Summary</t>
        </is>
      </c>
    </row>
    <row r="37">
      <c r="A37" s="6" t="inlineStr">
        <is>
          <t>Dimension</t>
        </is>
      </c>
      <c r="B37" s="6" t="inlineStr">
        <is>
          <t>Items scored</t>
        </is>
      </c>
      <c r="C37" s="6" t="inlineStr">
        <is>
          <t>Mean score</t>
        </is>
      </c>
      <c r="D37" s="6" t="inlineStr">
        <is>
          <t>Evidence-adjusted mean</t>
        </is>
      </c>
      <c r="E37" s="6" t="inlineStr">
        <is>
          <t>Target level (1 to 5)</t>
        </is>
      </c>
      <c r="F37" s="6" t="inlineStr">
        <is>
          <t>Gap to target (adjusted)</t>
        </is>
      </c>
      <c r="G37" s="6" t="inlineStr">
        <is>
          <t>Weakest?</t>
        </is>
      </c>
    </row>
    <row r="38">
      <c r="A38" s="9" t="inlineStr">
        <is>
          <t>Use cases and sponsorship</t>
        </is>
      </c>
      <c r="B38" s="9">
        <f>COUNTIFS($A$5:$A$34,A38,$E$5:$E$34,"&gt;0")</f>
        <v/>
      </c>
      <c r="C38" s="10">
        <f>IFERROR(AVERAGEIFS($E$5:$E$34,$A$5:$A$34,A38),"")</f>
        <v/>
      </c>
      <c r="D38" s="10">
        <f>IFERROR(AVERAGEIFS($E$5:$E$34,$A$5:$A$34,A38,$F$5:$F$34,"Y"),"")</f>
        <v/>
      </c>
      <c r="E38" s="11" t="n">
        <v>3</v>
      </c>
      <c r="F38" s="10">
        <f>IF(D38="","",MAX(0,E38-D38))</f>
        <v/>
      </c>
      <c r="G38" s="9">
        <f>IF(AND(D38&lt;&gt;"",D38=MIN($D$38:$D$42)),"Weakest","")</f>
        <v/>
      </c>
    </row>
    <row r="39">
      <c r="A39" s="9" t="inlineStr">
        <is>
          <t>Data: inventory, quality and metadata</t>
        </is>
      </c>
      <c r="B39" s="9">
        <f>COUNTIFS($A$5:$A$34,A39,$E$5:$E$34,"&gt;0")</f>
        <v/>
      </c>
      <c r="C39" s="10">
        <f>IFERROR(AVERAGEIFS($E$5:$E$34,$A$5:$A$34,A39),"")</f>
        <v/>
      </c>
      <c r="D39" s="10">
        <f>IFERROR(AVERAGEIFS($E$5:$E$34,$A$5:$A$34,A39,$F$5:$F$34,"Y"),"")</f>
        <v/>
      </c>
      <c r="E39" s="11" t="n">
        <v>3</v>
      </c>
      <c r="F39" s="10">
        <f>IF(D39="","",MAX(0,E39-D39))</f>
        <v/>
      </c>
      <c r="G39" s="9">
        <f>IF(AND(D39&lt;&gt;"",D39=MIN($D$38:$D$42)),"Weakest","")</f>
        <v/>
      </c>
    </row>
    <row r="40">
      <c r="A40" s="9" t="inlineStr">
        <is>
          <t>Platform and pipelines</t>
        </is>
      </c>
      <c r="B40" s="9">
        <f>COUNTIFS($A$5:$A$34,A40,$E$5:$E$34,"&gt;0")</f>
        <v/>
      </c>
      <c r="C40" s="10">
        <f>IFERROR(AVERAGEIFS($E$5:$E$34,$A$5:$A$34,A40),"")</f>
        <v/>
      </c>
      <c r="D40" s="10">
        <f>IFERROR(AVERAGEIFS($E$5:$E$34,$A$5:$A$34,A40,$F$5:$F$34,"Y"),"")</f>
        <v/>
      </c>
      <c r="E40" s="11" t="n">
        <v>3</v>
      </c>
      <c r="F40" s="10">
        <f>IF(D40="","",MAX(0,E40-D40))</f>
        <v/>
      </c>
      <c r="G40" s="9">
        <f>IF(AND(D40&lt;&gt;"",D40=MIN($D$38:$D$42)),"Weakest","")</f>
        <v/>
      </c>
    </row>
    <row r="41">
      <c r="A41" s="9" t="inlineStr">
        <is>
          <t>Protection and law</t>
        </is>
      </c>
      <c r="B41" s="9">
        <f>COUNTIFS($A$5:$A$34,A41,$E$5:$E$34,"&gt;0")</f>
        <v/>
      </c>
      <c r="C41" s="10">
        <f>IFERROR(AVERAGEIFS($E$5:$E$34,$A$5:$A$34,A41),"")</f>
        <v/>
      </c>
      <c r="D41" s="10">
        <f>IFERROR(AVERAGEIFS($E$5:$E$34,$A$5:$A$34,A41,$F$5:$F$34,"Y"),"")</f>
        <v/>
      </c>
      <c r="E41" s="11" t="n">
        <v>3</v>
      </c>
      <c r="F41" s="10">
        <f>IF(D41="","",MAX(0,E41-D41))</f>
        <v/>
      </c>
      <c r="G41" s="9">
        <f>IF(AND(D41&lt;&gt;"",D41=MIN($D$38:$D$42)),"Weakest","")</f>
        <v/>
      </c>
    </row>
    <row r="42">
      <c r="A42" s="9" t="inlineStr">
        <is>
          <t>People and governance</t>
        </is>
      </c>
      <c r="B42" s="9">
        <f>COUNTIFS($A$5:$A$34,A42,$E$5:$E$34,"&gt;0")</f>
        <v/>
      </c>
      <c r="C42" s="10">
        <f>IFERROR(AVERAGEIFS($E$5:$E$34,$A$5:$A$34,A42),"")</f>
        <v/>
      </c>
      <c r="D42" s="10">
        <f>IFERROR(AVERAGEIFS($E$5:$E$34,$A$5:$A$34,A42,$F$5:$F$34,"Y"),"")</f>
        <v/>
      </c>
      <c r="E42" s="11" t="n">
        <v>3</v>
      </c>
      <c r="F42" s="10">
        <f>IF(D42="","",MAX(0,E42-D42))</f>
        <v/>
      </c>
      <c r="G42" s="9">
        <f>IF(AND(D42&lt;&gt;"",D42=MIN($D$38:$D$42)),"Weakest","")</f>
        <v/>
      </c>
    </row>
    <row r="44">
      <c r="A44" s="4" t="inlineStr">
        <is>
          <t>Overall mean score</t>
        </is>
      </c>
      <c r="C44" s="12">
        <f>IFERROR(AVERAGE(C38:C42),"")</f>
        <v/>
      </c>
    </row>
    <row r="45">
      <c r="A45" s="4" t="inlineStr">
        <is>
          <t>Overall evidence-adjusted mean</t>
        </is>
      </c>
      <c r="D45" s="12">
        <f>IFERROR(AVERAGE(D38:D42),"")</f>
        <v/>
      </c>
    </row>
    <row r="46">
      <c r="A46" s="4" t="inlineStr">
        <is>
          <t>Overall level (adjusted, rounded)</t>
        </is>
      </c>
      <c r="D46" s="13">
        <f>IFERROR(INDEX('Levels guide'!$B$2:$B$6,ROUND(D45,0)),"")</f>
        <v/>
      </c>
    </row>
    <row r="47">
      <c r="A47" s="4" t="inlineStr">
        <is>
          <t>Weakest dimension (adjusted mean)</t>
        </is>
      </c>
      <c r="D47" s="13">
        <f>IFERROR(INDEX(A38:A42,MATCH(MIN(D38:D42),D38:D42,0)),"")</f>
        <v/>
      </c>
    </row>
    <row r="48">
      <c r="A48" s="4" t="inlineStr">
        <is>
          <t>Largest gap to target</t>
        </is>
      </c>
      <c r="D48" s="13">
        <f>IFERROR(INDEX(A38:A42,MATCH(MAX(F38:F42),F38:F42,0)),"")</f>
        <v/>
      </c>
    </row>
  </sheetData>
  <dataValidations count="3">
    <dataValidation sqref="E5:E34" showDropDown="0" showInputMessage="0" showErrorMessage="0" allowBlank="1" errorTitle="Score" error="Enter a whole number from 1 to 5." type="list">
      <formula1>"1,2,3,4,5"</formula1>
    </dataValidation>
    <dataValidation sqref="F5:F34" showDropDown="0" showInputMessage="0" showErrorMessage="0" allowBlank="1" errorTitle="Evidence seen" error="Enter Y or N." type="list">
      <formula1>"Y,N"</formula1>
    </dataValidation>
    <dataValidation sqref="E38:E42" showDropDown="0" showInputMessage="0" showErrorMessage="0" allowBlank="1" errorTitle="Target level" error="Enter a whole number from 1 to 5.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0" customWidth="1" min="3" max="3"/>
    <col width="60" customWidth="1" min="4" max="4"/>
  </cols>
  <sheetData>
    <row r="1">
      <c r="A1" s="6" t="inlineStr">
        <is>
          <t>Level</t>
        </is>
      </c>
      <c r="B1" s="6" t="inlineStr">
        <is>
          <t>Name</t>
        </is>
      </c>
      <c r="C1" s="6" t="inlineStr">
        <is>
          <t>What it looks like</t>
        </is>
      </c>
      <c r="D1" s="6" t="inlineStr">
        <is>
          <t>Evidence you would expect</t>
        </is>
      </c>
    </row>
    <row r="2">
      <c r="A2" s="7" t="n">
        <v>1</v>
      </c>
      <c r="B2" s="7" t="inlineStr">
        <is>
          <t>Ad hoc</t>
        </is>
      </c>
      <c r="C2" s="7" t="inlineStr">
        <is>
          <t>Done by individuals when needed. Nothing written down. Different answers from different people.</t>
        </is>
      </c>
      <c r="D2" s="7" t="inlineStr">
        <is>
          <t>A person's account only. No documents.</t>
        </is>
      </c>
    </row>
    <row r="3">
      <c r="A3" s="7" t="n">
        <v>2</v>
      </c>
      <c r="B3" s="7" t="inlineStr">
        <is>
          <t>Developing</t>
        </is>
      </c>
      <c r="C3" s="7" t="inlineStr">
        <is>
          <t>Some written practice in some places. Not applied across the organisation.</t>
        </is>
      </c>
      <c r="D3" s="7" t="inlineStr">
        <is>
          <t>A document or list that covers part of the organisation, with gaps you can name.</t>
        </is>
      </c>
    </row>
    <row r="4">
      <c r="A4" s="7" t="n">
        <v>3</v>
      </c>
      <c r="B4" s="7" t="inlineStr">
        <is>
          <t>Defined</t>
        </is>
      </c>
      <c r="C4" s="7" t="inlineStr">
        <is>
          <t>A standard exists and most units know it. Owners are named. Gaps are known.</t>
        </is>
      </c>
      <c r="D4" s="7" t="inlineStr">
        <is>
          <t>An approved policy, a complete list, a named owner, one report that uses them.</t>
        </is>
      </c>
    </row>
    <row r="5">
      <c r="A5" s="7" t="n">
        <v>4</v>
      </c>
      <c r="B5" s="7" t="inlineStr">
        <is>
          <t>Managed</t>
        </is>
      </c>
      <c r="C5" s="7" t="inlineStr">
        <is>
          <t>The standard is measured. Someone reviews the numbers and acts on them.</t>
        </is>
      </c>
      <c r="D5" s="7" t="inlineStr">
        <is>
          <t>Monthly figures, a log of actions, minutes showing decisions.</t>
        </is>
      </c>
    </row>
    <row r="6">
      <c r="A6" s="7" t="n">
        <v>5</v>
      </c>
      <c r="B6" s="7" t="inlineStr">
        <is>
          <t>Optimised</t>
        </is>
      </c>
      <c r="C6" s="7" t="inlineStr">
        <is>
          <t>The measures drive regular improvement. Changes are tested before they are rolled out.</t>
        </is>
      </c>
      <c r="D6" s="7" t="inlineStr">
        <is>
          <t>A year of trend data and a record of improvements made from it.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