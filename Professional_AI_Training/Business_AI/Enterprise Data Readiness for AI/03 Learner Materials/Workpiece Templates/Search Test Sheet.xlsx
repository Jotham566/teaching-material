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ests" sheetId="2" state="visible" r:id="rId2"/>
    <sheet xmlns:r="http://schemas.openxmlformats.org/officeDocument/2006/relationships" name="Permission 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1"/>
    </font>
    <font>
      <name val="Calibri"/>
      <i val="1"/>
      <color rgb="00595959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FFF8E5"/>
      </patternFill>
    </fill>
  </fills>
  <borders count="3">
    <border>
      <left/>
      <right/>
      <top/>
      <bottom/>
      <diagonal/>
    </border>
    <border>
      <bottom style="thin">
        <color rgb="00404040"/>
      </bottom>
    </border>
    <border>
      <bottom style="hair">
        <color rgb="0080808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2" borderId="0" pivotButton="0" quotePrefix="0" xfId="0"/>
    <xf numFmtId="0" fontId="4" fillId="0" borderId="1" applyAlignment="1" pivotButton="0" quotePrefix="0" xfId="0">
      <alignment vertical="bottom" wrapText="1"/>
    </xf>
    <xf numFmtId="0" fontId="2" fillId="0" borderId="2" pivotButton="0" quotePrefix="0" xfId="0"/>
    <xf numFmtId="0" fontId="2" fillId="2" borderId="2" applyAlignment="1" pivotButton="0" quotePrefix="0" xfId="0">
      <alignment vertical="top" wrapText="1"/>
    </xf>
    <xf numFmtId="164" fontId="2" fillId="0" borderId="2" pivotButton="0" quotePrefix="0" xfId="0"/>
    <xf numFmtId="0" fontId="2" fillId="0" borderId="0" pivotButton="0" quotePrefix="0" xfId="0"/>
    <xf numFmtId="1" fontId="2" fillId="0" borderId="0" pivotButton="0" quotePrefix="0" xfId="0"/>
    <xf numFmtId="2" fontId="2" fillId="0" borderId="0" pivotButton="0" quotePrefix="0" xfId="0"/>
    <xf numFmtId="164" fontId="2" fillId="0" borderId="0" pivotButton="0" quotePrefix="0" xfId="0"/>
    <xf numFmtId="0" fontId="2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9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Search Test Sheet</t>
        </is>
      </c>
    </row>
    <row r="3">
      <c r="A3" s="2" t="inlineStr">
        <is>
          <t>Write 30 questions that your staff really ask. For each, find the document that holds the right answer and copy its document id and a distinctive phrase.</t>
        </is>
      </c>
    </row>
    <row r="4">
      <c r="A4" s="2" t="inlineStr">
        <is>
          <t>Run each question through the search. Write the rank at which the right document first appears (1 is best). Leave rank blank if it is not in the top ten.</t>
        </is>
      </c>
    </row>
    <row r="5">
      <c r="A5" s="2" t="inlineStr">
        <is>
          <t>The sheet counts a hit at 3 and a hit at 5, then works out recall at 3, recall at 5 and mean reciprocal rank (MRR).</t>
        </is>
      </c>
    </row>
    <row r="6">
      <c r="A6" s="2" t="inlineStr">
        <is>
          <t>Record the reason for each miss in the Failure type column. Group the misses before you propose a fix.</t>
        </is>
      </c>
    </row>
    <row r="7">
      <c r="A7" s="2" t="inlineStr">
        <is>
          <t>On the Permission test sheet list questions that a given user must not be able to answer. A pass means the restricted document did not appear.</t>
        </is>
      </c>
    </row>
    <row r="8"/>
    <row r="9">
      <c r="A9" s="3" t="inlineStr">
        <is>
          <t>Cells with a light cream tint are for your input. All other cells are formulas or fixed text.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6" customWidth="1" min="2" max="2"/>
    <col width="14" customWidth="1" min="3" max="3"/>
    <col width="40" customWidth="1" min="4" max="4"/>
    <col width="18" customWidth="1" min="5" max="5"/>
    <col width="9" customWidth="1" min="6" max="6"/>
    <col width="9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Search Test Sheet</t>
        </is>
      </c>
    </row>
    <row r="2">
      <c r="A2" s="4" t="inlineStr">
        <is>
          <t>Search method tested:</t>
        </is>
      </c>
      <c r="C2" s="5" t="n"/>
    </row>
    <row r="4">
      <c r="A4" s="6" t="inlineStr">
        <is>
          <t>Q id</t>
        </is>
      </c>
      <c r="B4" s="6" t="inlineStr">
        <is>
          <t>Question (as staff would ask it)</t>
        </is>
      </c>
      <c r="C4" s="6" t="inlineStr">
        <is>
          <t>Gold document id</t>
        </is>
      </c>
      <c r="D4" s="6" t="inlineStr">
        <is>
          <t>Distinctive phrase in the right passage</t>
        </is>
      </c>
      <c r="E4" s="6" t="inlineStr">
        <is>
          <t>Rank found (blank if not in top 10)</t>
        </is>
      </c>
      <c r="F4" s="6" t="inlineStr">
        <is>
          <t>Hit at 3</t>
        </is>
      </c>
      <c r="G4" s="6" t="inlineStr">
        <is>
          <t>Hit at 5</t>
        </is>
      </c>
      <c r="H4" s="6" t="inlineStr">
        <is>
          <t>Reciprocal rank</t>
        </is>
      </c>
      <c r="I4" s="6" t="inlineStr">
        <is>
          <t>Failure type</t>
        </is>
      </c>
      <c r="J4" s="6" t="inlineStr">
        <is>
          <t>Note</t>
        </is>
      </c>
    </row>
    <row r="5">
      <c r="A5" s="7" t="inlineStr">
        <is>
          <t>Q01</t>
        </is>
      </c>
      <c r="B5" s="8" t="n"/>
      <c r="C5" s="8" t="n"/>
      <c r="D5" s="8" t="n"/>
      <c r="E5" s="8" t="n"/>
      <c r="F5" s="7">
        <f>IF(B5="","",IF(AND(ISNUMBER(E5),E5&lt;=3),1,0))</f>
        <v/>
      </c>
      <c r="G5" s="7">
        <f>IF(B5="","",IF(AND(ISNUMBER(E5),E5&lt;=5),1,0))</f>
        <v/>
      </c>
      <c r="H5" s="9">
        <f>IF(B5="","",IF(ISNUMBER(E5),1/E5,0))</f>
        <v/>
      </c>
      <c r="I5" s="8" t="n"/>
      <c r="J5" s="8" t="n"/>
    </row>
    <row r="6">
      <c r="A6" s="7" t="inlineStr">
        <is>
          <t>Q02</t>
        </is>
      </c>
      <c r="B6" s="8" t="n"/>
      <c r="C6" s="8" t="n"/>
      <c r="D6" s="8" t="n"/>
      <c r="E6" s="8" t="n"/>
      <c r="F6" s="7">
        <f>IF(B6="","",IF(AND(ISNUMBER(E6),E6&lt;=3),1,0))</f>
        <v/>
      </c>
      <c r="G6" s="7">
        <f>IF(B6="","",IF(AND(ISNUMBER(E6),E6&lt;=5),1,0))</f>
        <v/>
      </c>
      <c r="H6" s="9">
        <f>IF(B6="","",IF(ISNUMBER(E6),1/E6,0))</f>
        <v/>
      </c>
      <c r="I6" s="8" t="n"/>
      <c r="J6" s="8" t="n"/>
    </row>
    <row r="7">
      <c r="A7" s="7" t="inlineStr">
        <is>
          <t>Q03</t>
        </is>
      </c>
      <c r="B7" s="8" t="n"/>
      <c r="C7" s="8" t="n"/>
      <c r="D7" s="8" t="n"/>
      <c r="E7" s="8" t="n"/>
      <c r="F7" s="7">
        <f>IF(B7="","",IF(AND(ISNUMBER(E7),E7&lt;=3),1,0))</f>
        <v/>
      </c>
      <c r="G7" s="7">
        <f>IF(B7="","",IF(AND(ISNUMBER(E7),E7&lt;=5),1,0))</f>
        <v/>
      </c>
      <c r="H7" s="9">
        <f>IF(B7="","",IF(ISNUMBER(E7),1/E7,0))</f>
        <v/>
      </c>
      <c r="I7" s="8" t="n"/>
      <c r="J7" s="8" t="n"/>
    </row>
    <row r="8">
      <c r="A8" s="7" t="inlineStr">
        <is>
          <t>Q04</t>
        </is>
      </c>
      <c r="B8" s="8" t="n"/>
      <c r="C8" s="8" t="n"/>
      <c r="D8" s="8" t="n"/>
      <c r="E8" s="8" t="n"/>
      <c r="F8" s="7">
        <f>IF(B8="","",IF(AND(ISNUMBER(E8),E8&lt;=3),1,0))</f>
        <v/>
      </c>
      <c r="G8" s="7">
        <f>IF(B8="","",IF(AND(ISNUMBER(E8),E8&lt;=5),1,0))</f>
        <v/>
      </c>
      <c r="H8" s="9">
        <f>IF(B8="","",IF(ISNUMBER(E8),1/E8,0))</f>
        <v/>
      </c>
      <c r="I8" s="8" t="n"/>
      <c r="J8" s="8" t="n"/>
    </row>
    <row r="9">
      <c r="A9" s="7" t="inlineStr">
        <is>
          <t>Q05</t>
        </is>
      </c>
      <c r="B9" s="8" t="n"/>
      <c r="C9" s="8" t="n"/>
      <c r="D9" s="8" t="n"/>
      <c r="E9" s="8" t="n"/>
      <c r="F9" s="7">
        <f>IF(B9="","",IF(AND(ISNUMBER(E9),E9&lt;=3),1,0))</f>
        <v/>
      </c>
      <c r="G9" s="7">
        <f>IF(B9="","",IF(AND(ISNUMBER(E9),E9&lt;=5),1,0))</f>
        <v/>
      </c>
      <c r="H9" s="9">
        <f>IF(B9="","",IF(ISNUMBER(E9),1/E9,0))</f>
        <v/>
      </c>
      <c r="I9" s="8" t="n"/>
      <c r="J9" s="8" t="n"/>
    </row>
    <row r="10">
      <c r="A10" s="7" t="inlineStr">
        <is>
          <t>Q06</t>
        </is>
      </c>
      <c r="B10" s="8" t="n"/>
      <c r="C10" s="8" t="n"/>
      <c r="D10" s="8" t="n"/>
      <c r="E10" s="8" t="n"/>
      <c r="F10" s="7">
        <f>IF(B10="","",IF(AND(ISNUMBER(E10),E10&lt;=3),1,0))</f>
        <v/>
      </c>
      <c r="G10" s="7">
        <f>IF(B10="","",IF(AND(ISNUMBER(E10),E10&lt;=5),1,0))</f>
        <v/>
      </c>
      <c r="H10" s="9">
        <f>IF(B10="","",IF(ISNUMBER(E10),1/E10,0))</f>
        <v/>
      </c>
      <c r="I10" s="8" t="n"/>
      <c r="J10" s="8" t="n"/>
    </row>
    <row r="11">
      <c r="A11" s="7" t="inlineStr">
        <is>
          <t>Q07</t>
        </is>
      </c>
      <c r="B11" s="8" t="n"/>
      <c r="C11" s="8" t="n"/>
      <c r="D11" s="8" t="n"/>
      <c r="E11" s="8" t="n"/>
      <c r="F11" s="7">
        <f>IF(B11="","",IF(AND(ISNUMBER(E11),E11&lt;=3),1,0))</f>
        <v/>
      </c>
      <c r="G11" s="7">
        <f>IF(B11="","",IF(AND(ISNUMBER(E11),E11&lt;=5),1,0))</f>
        <v/>
      </c>
      <c r="H11" s="9">
        <f>IF(B11="","",IF(ISNUMBER(E11),1/E11,0))</f>
        <v/>
      </c>
      <c r="I11" s="8" t="n"/>
      <c r="J11" s="8" t="n"/>
    </row>
    <row r="12">
      <c r="A12" s="7" t="inlineStr">
        <is>
          <t>Q08</t>
        </is>
      </c>
      <c r="B12" s="8" t="n"/>
      <c r="C12" s="8" t="n"/>
      <c r="D12" s="8" t="n"/>
      <c r="E12" s="8" t="n"/>
      <c r="F12" s="7">
        <f>IF(B12="","",IF(AND(ISNUMBER(E12),E12&lt;=3),1,0))</f>
        <v/>
      </c>
      <c r="G12" s="7">
        <f>IF(B12="","",IF(AND(ISNUMBER(E12),E12&lt;=5),1,0))</f>
        <v/>
      </c>
      <c r="H12" s="9">
        <f>IF(B12="","",IF(ISNUMBER(E12),1/E12,0))</f>
        <v/>
      </c>
      <c r="I12" s="8" t="n"/>
      <c r="J12" s="8" t="n"/>
    </row>
    <row r="13">
      <c r="A13" s="7" t="inlineStr">
        <is>
          <t>Q09</t>
        </is>
      </c>
      <c r="B13" s="8" t="n"/>
      <c r="C13" s="8" t="n"/>
      <c r="D13" s="8" t="n"/>
      <c r="E13" s="8" t="n"/>
      <c r="F13" s="7">
        <f>IF(B13="","",IF(AND(ISNUMBER(E13),E13&lt;=3),1,0))</f>
        <v/>
      </c>
      <c r="G13" s="7">
        <f>IF(B13="","",IF(AND(ISNUMBER(E13),E13&lt;=5),1,0))</f>
        <v/>
      </c>
      <c r="H13" s="9">
        <f>IF(B13="","",IF(ISNUMBER(E13),1/E13,0))</f>
        <v/>
      </c>
      <c r="I13" s="8" t="n"/>
      <c r="J13" s="8" t="n"/>
    </row>
    <row r="14">
      <c r="A14" s="7" t="inlineStr">
        <is>
          <t>Q10</t>
        </is>
      </c>
      <c r="B14" s="8" t="n"/>
      <c r="C14" s="8" t="n"/>
      <c r="D14" s="8" t="n"/>
      <c r="E14" s="8" t="n"/>
      <c r="F14" s="7">
        <f>IF(B14="","",IF(AND(ISNUMBER(E14),E14&lt;=3),1,0))</f>
        <v/>
      </c>
      <c r="G14" s="7">
        <f>IF(B14="","",IF(AND(ISNUMBER(E14),E14&lt;=5),1,0))</f>
        <v/>
      </c>
      <c r="H14" s="9">
        <f>IF(B14="","",IF(ISNUMBER(E14),1/E14,0))</f>
        <v/>
      </c>
      <c r="I14" s="8" t="n"/>
      <c r="J14" s="8" t="n"/>
    </row>
    <row r="15">
      <c r="A15" s="7" t="inlineStr">
        <is>
          <t>Q11</t>
        </is>
      </c>
      <c r="B15" s="8" t="n"/>
      <c r="C15" s="8" t="n"/>
      <c r="D15" s="8" t="n"/>
      <c r="E15" s="8" t="n"/>
      <c r="F15" s="7">
        <f>IF(B15="","",IF(AND(ISNUMBER(E15),E15&lt;=3),1,0))</f>
        <v/>
      </c>
      <c r="G15" s="7">
        <f>IF(B15="","",IF(AND(ISNUMBER(E15),E15&lt;=5),1,0))</f>
        <v/>
      </c>
      <c r="H15" s="9">
        <f>IF(B15="","",IF(ISNUMBER(E15),1/E15,0))</f>
        <v/>
      </c>
      <c r="I15" s="8" t="n"/>
      <c r="J15" s="8" t="n"/>
    </row>
    <row r="16">
      <c r="A16" s="7" t="inlineStr">
        <is>
          <t>Q12</t>
        </is>
      </c>
      <c r="B16" s="8" t="n"/>
      <c r="C16" s="8" t="n"/>
      <c r="D16" s="8" t="n"/>
      <c r="E16" s="8" t="n"/>
      <c r="F16" s="7">
        <f>IF(B16="","",IF(AND(ISNUMBER(E16),E16&lt;=3),1,0))</f>
        <v/>
      </c>
      <c r="G16" s="7">
        <f>IF(B16="","",IF(AND(ISNUMBER(E16),E16&lt;=5),1,0))</f>
        <v/>
      </c>
      <c r="H16" s="9">
        <f>IF(B16="","",IF(ISNUMBER(E16),1/E16,0))</f>
        <v/>
      </c>
      <c r="I16" s="8" t="n"/>
      <c r="J16" s="8" t="n"/>
    </row>
    <row r="17">
      <c r="A17" s="7" t="inlineStr">
        <is>
          <t>Q13</t>
        </is>
      </c>
      <c r="B17" s="8" t="n"/>
      <c r="C17" s="8" t="n"/>
      <c r="D17" s="8" t="n"/>
      <c r="E17" s="8" t="n"/>
      <c r="F17" s="7">
        <f>IF(B17="","",IF(AND(ISNUMBER(E17),E17&lt;=3),1,0))</f>
        <v/>
      </c>
      <c r="G17" s="7">
        <f>IF(B17="","",IF(AND(ISNUMBER(E17),E17&lt;=5),1,0))</f>
        <v/>
      </c>
      <c r="H17" s="9">
        <f>IF(B17="","",IF(ISNUMBER(E17),1/E17,0))</f>
        <v/>
      </c>
      <c r="I17" s="8" t="n"/>
      <c r="J17" s="8" t="n"/>
    </row>
    <row r="18">
      <c r="A18" s="7" t="inlineStr">
        <is>
          <t>Q14</t>
        </is>
      </c>
      <c r="B18" s="8" t="n"/>
      <c r="C18" s="8" t="n"/>
      <c r="D18" s="8" t="n"/>
      <c r="E18" s="8" t="n"/>
      <c r="F18" s="7">
        <f>IF(B18="","",IF(AND(ISNUMBER(E18),E18&lt;=3),1,0))</f>
        <v/>
      </c>
      <c r="G18" s="7">
        <f>IF(B18="","",IF(AND(ISNUMBER(E18),E18&lt;=5),1,0))</f>
        <v/>
      </c>
      <c r="H18" s="9">
        <f>IF(B18="","",IF(ISNUMBER(E18),1/E18,0))</f>
        <v/>
      </c>
      <c r="I18" s="8" t="n"/>
      <c r="J18" s="8" t="n"/>
    </row>
    <row r="19">
      <c r="A19" s="7" t="inlineStr">
        <is>
          <t>Q15</t>
        </is>
      </c>
      <c r="B19" s="8" t="n"/>
      <c r="C19" s="8" t="n"/>
      <c r="D19" s="8" t="n"/>
      <c r="E19" s="8" t="n"/>
      <c r="F19" s="7">
        <f>IF(B19="","",IF(AND(ISNUMBER(E19),E19&lt;=3),1,0))</f>
        <v/>
      </c>
      <c r="G19" s="7">
        <f>IF(B19="","",IF(AND(ISNUMBER(E19),E19&lt;=5),1,0))</f>
        <v/>
      </c>
      <c r="H19" s="9">
        <f>IF(B19="","",IF(ISNUMBER(E19),1/E19,0))</f>
        <v/>
      </c>
      <c r="I19" s="8" t="n"/>
      <c r="J19" s="8" t="n"/>
    </row>
    <row r="20">
      <c r="A20" s="7" t="inlineStr">
        <is>
          <t>Q16</t>
        </is>
      </c>
      <c r="B20" s="8" t="n"/>
      <c r="C20" s="8" t="n"/>
      <c r="D20" s="8" t="n"/>
      <c r="E20" s="8" t="n"/>
      <c r="F20" s="7">
        <f>IF(B20="","",IF(AND(ISNUMBER(E20),E20&lt;=3),1,0))</f>
        <v/>
      </c>
      <c r="G20" s="7">
        <f>IF(B20="","",IF(AND(ISNUMBER(E20),E20&lt;=5),1,0))</f>
        <v/>
      </c>
      <c r="H20" s="9">
        <f>IF(B20="","",IF(ISNUMBER(E20),1/E20,0))</f>
        <v/>
      </c>
      <c r="I20" s="8" t="n"/>
      <c r="J20" s="8" t="n"/>
    </row>
    <row r="21">
      <c r="A21" s="7" t="inlineStr">
        <is>
          <t>Q17</t>
        </is>
      </c>
      <c r="B21" s="8" t="n"/>
      <c r="C21" s="8" t="n"/>
      <c r="D21" s="8" t="n"/>
      <c r="E21" s="8" t="n"/>
      <c r="F21" s="7">
        <f>IF(B21="","",IF(AND(ISNUMBER(E21),E21&lt;=3),1,0))</f>
        <v/>
      </c>
      <c r="G21" s="7">
        <f>IF(B21="","",IF(AND(ISNUMBER(E21),E21&lt;=5),1,0))</f>
        <v/>
      </c>
      <c r="H21" s="9">
        <f>IF(B21="","",IF(ISNUMBER(E21),1/E21,0))</f>
        <v/>
      </c>
      <c r="I21" s="8" t="n"/>
      <c r="J21" s="8" t="n"/>
    </row>
    <row r="22">
      <c r="A22" s="7" t="inlineStr">
        <is>
          <t>Q18</t>
        </is>
      </c>
      <c r="B22" s="8" t="n"/>
      <c r="C22" s="8" t="n"/>
      <c r="D22" s="8" t="n"/>
      <c r="E22" s="8" t="n"/>
      <c r="F22" s="7">
        <f>IF(B22="","",IF(AND(ISNUMBER(E22),E22&lt;=3),1,0))</f>
        <v/>
      </c>
      <c r="G22" s="7">
        <f>IF(B22="","",IF(AND(ISNUMBER(E22),E22&lt;=5),1,0))</f>
        <v/>
      </c>
      <c r="H22" s="9">
        <f>IF(B22="","",IF(ISNUMBER(E22),1/E22,0))</f>
        <v/>
      </c>
      <c r="I22" s="8" t="n"/>
      <c r="J22" s="8" t="n"/>
    </row>
    <row r="23">
      <c r="A23" s="7" t="inlineStr">
        <is>
          <t>Q19</t>
        </is>
      </c>
      <c r="B23" s="8" t="n"/>
      <c r="C23" s="8" t="n"/>
      <c r="D23" s="8" t="n"/>
      <c r="E23" s="8" t="n"/>
      <c r="F23" s="7">
        <f>IF(B23="","",IF(AND(ISNUMBER(E23),E23&lt;=3),1,0))</f>
        <v/>
      </c>
      <c r="G23" s="7">
        <f>IF(B23="","",IF(AND(ISNUMBER(E23),E23&lt;=5),1,0))</f>
        <v/>
      </c>
      <c r="H23" s="9">
        <f>IF(B23="","",IF(ISNUMBER(E23),1/E23,0))</f>
        <v/>
      </c>
      <c r="I23" s="8" t="n"/>
      <c r="J23" s="8" t="n"/>
    </row>
    <row r="24">
      <c r="A24" s="7" t="inlineStr">
        <is>
          <t>Q20</t>
        </is>
      </c>
      <c r="B24" s="8" t="n"/>
      <c r="C24" s="8" t="n"/>
      <c r="D24" s="8" t="n"/>
      <c r="E24" s="8" t="n"/>
      <c r="F24" s="7">
        <f>IF(B24="","",IF(AND(ISNUMBER(E24),E24&lt;=3),1,0))</f>
        <v/>
      </c>
      <c r="G24" s="7">
        <f>IF(B24="","",IF(AND(ISNUMBER(E24),E24&lt;=5),1,0))</f>
        <v/>
      </c>
      <c r="H24" s="9">
        <f>IF(B24="","",IF(ISNUMBER(E24),1/E24,0))</f>
        <v/>
      </c>
      <c r="I24" s="8" t="n"/>
      <c r="J24" s="8" t="n"/>
    </row>
    <row r="25">
      <c r="A25" s="7" t="inlineStr">
        <is>
          <t>Q21</t>
        </is>
      </c>
      <c r="B25" s="8" t="n"/>
      <c r="C25" s="8" t="n"/>
      <c r="D25" s="8" t="n"/>
      <c r="E25" s="8" t="n"/>
      <c r="F25" s="7">
        <f>IF(B25="","",IF(AND(ISNUMBER(E25),E25&lt;=3),1,0))</f>
        <v/>
      </c>
      <c r="G25" s="7">
        <f>IF(B25="","",IF(AND(ISNUMBER(E25),E25&lt;=5),1,0))</f>
        <v/>
      </c>
      <c r="H25" s="9">
        <f>IF(B25="","",IF(ISNUMBER(E25),1/E25,0))</f>
        <v/>
      </c>
      <c r="I25" s="8" t="n"/>
      <c r="J25" s="8" t="n"/>
    </row>
    <row r="26">
      <c r="A26" s="7" t="inlineStr">
        <is>
          <t>Q22</t>
        </is>
      </c>
      <c r="B26" s="8" t="n"/>
      <c r="C26" s="8" t="n"/>
      <c r="D26" s="8" t="n"/>
      <c r="E26" s="8" t="n"/>
      <c r="F26" s="7">
        <f>IF(B26="","",IF(AND(ISNUMBER(E26),E26&lt;=3),1,0))</f>
        <v/>
      </c>
      <c r="G26" s="7">
        <f>IF(B26="","",IF(AND(ISNUMBER(E26),E26&lt;=5),1,0))</f>
        <v/>
      </c>
      <c r="H26" s="9">
        <f>IF(B26="","",IF(ISNUMBER(E26),1/E26,0))</f>
        <v/>
      </c>
      <c r="I26" s="8" t="n"/>
      <c r="J26" s="8" t="n"/>
    </row>
    <row r="27">
      <c r="A27" s="7" t="inlineStr">
        <is>
          <t>Q23</t>
        </is>
      </c>
      <c r="B27" s="8" t="n"/>
      <c r="C27" s="8" t="n"/>
      <c r="D27" s="8" t="n"/>
      <c r="E27" s="8" t="n"/>
      <c r="F27" s="7">
        <f>IF(B27="","",IF(AND(ISNUMBER(E27),E27&lt;=3),1,0))</f>
        <v/>
      </c>
      <c r="G27" s="7">
        <f>IF(B27="","",IF(AND(ISNUMBER(E27),E27&lt;=5),1,0))</f>
        <v/>
      </c>
      <c r="H27" s="9">
        <f>IF(B27="","",IF(ISNUMBER(E27),1/E27,0))</f>
        <v/>
      </c>
      <c r="I27" s="8" t="n"/>
      <c r="J27" s="8" t="n"/>
    </row>
    <row r="28">
      <c r="A28" s="7" t="inlineStr">
        <is>
          <t>Q24</t>
        </is>
      </c>
      <c r="B28" s="8" t="n"/>
      <c r="C28" s="8" t="n"/>
      <c r="D28" s="8" t="n"/>
      <c r="E28" s="8" t="n"/>
      <c r="F28" s="7">
        <f>IF(B28="","",IF(AND(ISNUMBER(E28),E28&lt;=3),1,0))</f>
        <v/>
      </c>
      <c r="G28" s="7">
        <f>IF(B28="","",IF(AND(ISNUMBER(E28),E28&lt;=5),1,0))</f>
        <v/>
      </c>
      <c r="H28" s="9">
        <f>IF(B28="","",IF(ISNUMBER(E28),1/E28,0))</f>
        <v/>
      </c>
      <c r="I28" s="8" t="n"/>
      <c r="J28" s="8" t="n"/>
    </row>
    <row r="29">
      <c r="A29" s="7" t="inlineStr">
        <is>
          <t>Q25</t>
        </is>
      </c>
      <c r="B29" s="8" t="n"/>
      <c r="C29" s="8" t="n"/>
      <c r="D29" s="8" t="n"/>
      <c r="E29" s="8" t="n"/>
      <c r="F29" s="7">
        <f>IF(B29="","",IF(AND(ISNUMBER(E29),E29&lt;=3),1,0))</f>
        <v/>
      </c>
      <c r="G29" s="7">
        <f>IF(B29="","",IF(AND(ISNUMBER(E29),E29&lt;=5),1,0))</f>
        <v/>
      </c>
      <c r="H29" s="9">
        <f>IF(B29="","",IF(ISNUMBER(E29),1/E29,0))</f>
        <v/>
      </c>
      <c r="I29" s="8" t="n"/>
      <c r="J29" s="8" t="n"/>
    </row>
    <row r="30">
      <c r="A30" s="7" t="inlineStr">
        <is>
          <t>Q26</t>
        </is>
      </c>
      <c r="B30" s="8" t="n"/>
      <c r="C30" s="8" t="n"/>
      <c r="D30" s="8" t="n"/>
      <c r="E30" s="8" t="n"/>
      <c r="F30" s="7">
        <f>IF(B30="","",IF(AND(ISNUMBER(E30),E30&lt;=3),1,0))</f>
        <v/>
      </c>
      <c r="G30" s="7">
        <f>IF(B30="","",IF(AND(ISNUMBER(E30),E30&lt;=5),1,0))</f>
        <v/>
      </c>
      <c r="H30" s="9">
        <f>IF(B30="","",IF(ISNUMBER(E30),1/E30,0))</f>
        <v/>
      </c>
      <c r="I30" s="8" t="n"/>
      <c r="J30" s="8" t="n"/>
    </row>
    <row r="31">
      <c r="A31" s="7" t="inlineStr">
        <is>
          <t>Q27</t>
        </is>
      </c>
      <c r="B31" s="8" t="n"/>
      <c r="C31" s="8" t="n"/>
      <c r="D31" s="8" t="n"/>
      <c r="E31" s="8" t="n"/>
      <c r="F31" s="7">
        <f>IF(B31="","",IF(AND(ISNUMBER(E31),E31&lt;=3),1,0))</f>
        <v/>
      </c>
      <c r="G31" s="7">
        <f>IF(B31="","",IF(AND(ISNUMBER(E31),E31&lt;=5),1,0))</f>
        <v/>
      </c>
      <c r="H31" s="9">
        <f>IF(B31="","",IF(ISNUMBER(E31),1/E31,0))</f>
        <v/>
      </c>
      <c r="I31" s="8" t="n"/>
      <c r="J31" s="8" t="n"/>
    </row>
    <row r="32">
      <c r="A32" s="7" t="inlineStr">
        <is>
          <t>Q28</t>
        </is>
      </c>
      <c r="B32" s="8" t="n"/>
      <c r="C32" s="8" t="n"/>
      <c r="D32" s="8" t="n"/>
      <c r="E32" s="8" t="n"/>
      <c r="F32" s="7">
        <f>IF(B32="","",IF(AND(ISNUMBER(E32),E32&lt;=3),1,0))</f>
        <v/>
      </c>
      <c r="G32" s="7">
        <f>IF(B32="","",IF(AND(ISNUMBER(E32),E32&lt;=5),1,0))</f>
        <v/>
      </c>
      <c r="H32" s="9">
        <f>IF(B32="","",IF(ISNUMBER(E32),1/E32,0))</f>
        <v/>
      </c>
      <c r="I32" s="8" t="n"/>
      <c r="J32" s="8" t="n"/>
    </row>
    <row r="33">
      <c r="A33" s="7" t="inlineStr">
        <is>
          <t>Q29</t>
        </is>
      </c>
      <c r="B33" s="8" t="n"/>
      <c r="C33" s="8" t="n"/>
      <c r="D33" s="8" t="n"/>
      <c r="E33" s="8" t="n"/>
      <c r="F33" s="7">
        <f>IF(B33="","",IF(AND(ISNUMBER(E33),E33&lt;=3),1,0))</f>
        <v/>
      </c>
      <c r="G33" s="7">
        <f>IF(B33="","",IF(AND(ISNUMBER(E33),E33&lt;=5),1,0))</f>
        <v/>
      </c>
      <c r="H33" s="9">
        <f>IF(B33="","",IF(ISNUMBER(E33),1/E33,0))</f>
        <v/>
      </c>
      <c r="I33" s="8" t="n"/>
      <c r="J33" s="8" t="n"/>
    </row>
    <row r="34">
      <c r="A34" s="7" t="inlineStr">
        <is>
          <t>Q30</t>
        </is>
      </c>
      <c r="B34" s="8" t="n"/>
      <c r="C34" s="8" t="n"/>
      <c r="D34" s="8" t="n"/>
      <c r="E34" s="8" t="n"/>
      <c r="F34" s="7">
        <f>IF(B34="","",IF(AND(ISNUMBER(E34),E34&lt;=3),1,0))</f>
        <v/>
      </c>
      <c r="G34" s="7">
        <f>IF(B34="","",IF(AND(ISNUMBER(E34),E34&lt;=5),1,0))</f>
        <v/>
      </c>
      <c r="H34" s="9">
        <f>IF(B34="","",IF(ISNUMBER(E34),1/E34,0))</f>
        <v/>
      </c>
      <c r="I34" s="8" t="n"/>
      <c r="J34" s="8" t="n"/>
    </row>
    <row r="36">
      <c r="A36" s="4" t="inlineStr">
        <is>
          <t>Results</t>
        </is>
      </c>
    </row>
    <row r="37">
      <c r="A37" s="10" t="inlineStr">
        <is>
          <t>Questions</t>
        </is>
      </c>
      <c r="E37" s="11">
        <f>COUNTA(B5:B34)</f>
        <v/>
      </c>
    </row>
    <row r="38">
      <c r="A38" s="10" t="inlineStr">
        <is>
          <t>Hits at 3</t>
        </is>
      </c>
      <c r="E38" s="11">
        <f>SUM(F5:F34)</f>
        <v/>
      </c>
    </row>
    <row r="39">
      <c r="A39" s="10" t="inlineStr">
        <is>
          <t>Hits at 5</t>
        </is>
      </c>
      <c r="E39" s="11">
        <f>SUM(G5:G34)</f>
        <v/>
      </c>
    </row>
    <row r="40">
      <c r="A40" s="10" t="inlineStr">
        <is>
          <t>Recall at 3</t>
        </is>
      </c>
      <c r="E40" s="12">
        <f>IFERROR(SUM(F5:F34)/COUNT(F5:F34),"")</f>
        <v/>
      </c>
    </row>
    <row r="41">
      <c r="A41" s="10" t="inlineStr">
        <is>
          <t>Recall at 5</t>
        </is>
      </c>
      <c r="E41" s="12">
        <f>IFERROR(SUM(G5:G34)/COUNT(G5:G34),"")</f>
        <v/>
      </c>
    </row>
    <row r="42">
      <c r="A42" s="10" t="inlineStr">
        <is>
          <t>Mean reciprocal rank (MRR)</t>
        </is>
      </c>
      <c r="E42" s="13">
        <f>IFERROR(AVERAGE(H5:H34),"")</f>
        <v/>
      </c>
    </row>
  </sheetData>
  <dataValidations count="3">
    <dataValidation sqref="C2" showDropDown="0" showInputMessage="0" showErrorMessage="0" allowBlank="1" type="list">
      <formula1>"keyword,meaning,hybrid"</formula1>
    </dataValidation>
    <dataValidation sqref="E5:E34" showDropDown="0" showInputMessage="0" showErrorMessage="0" allowBlank="1" errorTitle="Rank" error="Enter a rank from 1 to 10, or leave blank." type="list">
      <formula1>"1,2,3,4,5,6,7,8,9,10"</formula1>
    </dataValidation>
    <dataValidation sqref="I5:I34" showDropDown="0" showInputMessage="0" showErrorMessage="0" allowBlank="1" type="list">
      <formula1>"stale version,wrong chunk,missing document,permission,scan or OCR,language,table or layout,other"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8" customWidth="1" min="3" max="3"/>
    <col width="22" customWidth="1" min="4" max="4"/>
    <col width="22" customWidth="1" min="5" max="5"/>
    <col width="10" customWidth="1" min="6" max="6"/>
  </cols>
  <sheetData>
    <row r="1">
      <c r="A1" s="6" t="inlineStr">
        <is>
          <t>User</t>
        </is>
      </c>
      <c r="B1" s="6" t="inlineStr">
        <is>
          <t>User groups</t>
        </is>
      </c>
      <c r="C1" s="6" t="inlineStr">
        <is>
          <t>Question</t>
        </is>
      </c>
      <c r="D1" s="6" t="inlineStr">
        <is>
          <t>Restricted document id</t>
        </is>
      </c>
      <c r="E1" s="6" t="inlineStr">
        <is>
          <t>Appeared in top 5 (Y/N)</t>
        </is>
      </c>
      <c r="F1" s="6" t="inlineStr">
        <is>
          <t>Result</t>
        </is>
      </c>
    </row>
    <row r="2">
      <c r="A2" s="14" t="n"/>
      <c r="B2" s="14" t="n"/>
      <c r="C2" s="14" t="n"/>
      <c r="D2" s="14" t="n"/>
      <c r="E2" s="14" t="n"/>
      <c r="F2" s="7">
        <f>IF(E2="","",IF(E2="N","PASS","FAIL"))</f>
        <v/>
      </c>
    </row>
    <row r="3">
      <c r="A3" s="14" t="n"/>
      <c r="B3" s="14" t="n"/>
      <c r="C3" s="14" t="n"/>
      <c r="D3" s="14" t="n"/>
      <c r="E3" s="14" t="n"/>
      <c r="F3" s="7">
        <f>IF(E3="","",IF(E3="N","PASS","FAIL"))</f>
        <v/>
      </c>
    </row>
    <row r="4">
      <c r="A4" s="14" t="n"/>
      <c r="B4" s="14" t="n"/>
      <c r="C4" s="14" t="n"/>
      <c r="D4" s="14" t="n"/>
      <c r="E4" s="14" t="n"/>
      <c r="F4" s="7">
        <f>IF(E4="","",IF(E4="N","PASS","FAIL"))</f>
        <v/>
      </c>
    </row>
    <row r="5">
      <c r="A5" s="14" t="n"/>
      <c r="B5" s="14" t="n"/>
      <c r="C5" s="14" t="n"/>
      <c r="D5" s="14" t="n"/>
      <c r="E5" s="14" t="n"/>
      <c r="F5" s="7">
        <f>IF(E5="","",IF(E5="N","PASS","FAIL"))</f>
        <v/>
      </c>
    </row>
    <row r="6">
      <c r="A6" s="14" t="n"/>
      <c r="B6" s="14" t="n"/>
      <c r="C6" s="14" t="n"/>
      <c r="D6" s="14" t="n"/>
      <c r="E6" s="14" t="n"/>
      <c r="F6" s="7">
        <f>IF(E6="","",IF(E6="N","PASS","FAIL"))</f>
        <v/>
      </c>
    </row>
    <row r="7">
      <c r="A7" s="14" t="n"/>
      <c r="B7" s="14" t="n"/>
      <c r="C7" s="14" t="n"/>
      <c r="D7" s="14" t="n"/>
      <c r="E7" s="14" t="n"/>
      <c r="F7" s="7">
        <f>IF(E7="","",IF(E7="N","PASS","FAIL"))</f>
        <v/>
      </c>
    </row>
    <row r="8">
      <c r="A8" s="14" t="n"/>
      <c r="B8" s="14" t="n"/>
      <c r="C8" s="14" t="n"/>
      <c r="D8" s="14" t="n"/>
      <c r="E8" s="14" t="n"/>
      <c r="F8" s="7">
        <f>IF(E8="","",IF(E8="N","PASS","FAIL"))</f>
        <v/>
      </c>
    </row>
    <row r="9">
      <c r="A9" s="14" t="n"/>
      <c r="B9" s="14" t="n"/>
      <c r="C9" s="14" t="n"/>
      <c r="D9" s="14" t="n"/>
      <c r="E9" s="14" t="n"/>
      <c r="F9" s="7">
        <f>IF(E9="","",IF(E9="N","PASS","FAIL"))</f>
        <v/>
      </c>
    </row>
    <row r="10">
      <c r="A10" s="14" t="n"/>
      <c r="B10" s="14" t="n"/>
      <c r="C10" s="14" t="n"/>
      <c r="D10" s="14" t="n"/>
      <c r="E10" s="14" t="n"/>
      <c r="F10" s="7">
        <f>IF(E10="","",IF(E10="N","PASS","FAIL"))</f>
        <v/>
      </c>
    </row>
    <row r="11">
      <c r="A11" s="14" t="n"/>
      <c r="B11" s="14" t="n"/>
      <c r="C11" s="14" t="n"/>
      <c r="D11" s="14" t="n"/>
      <c r="E11" s="14" t="n"/>
      <c r="F11" s="7">
        <f>IF(E11="","",IF(E11="N","PASS","FAIL"))</f>
        <v/>
      </c>
    </row>
    <row r="14">
      <c r="A14" s="4" t="inlineStr">
        <is>
          <t>Passes</t>
        </is>
      </c>
      <c r="C14" s="10">
        <f>COUNTIF(F2:F11,"PASS")</f>
        <v/>
      </c>
    </row>
    <row r="15">
      <c r="A15" s="4" t="inlineStr">
        <is>
          <t>Failures</t>
        </is>
      </c>
      <c r="C15" s="10">
        <f>COUNTIF(F2:F11,"FAIL")</f>
        <v/>
      </c>
    </row>
  </sheetData>
  <dataValidations count="1">
    <dataValidation sqref="E2:E11" showDropDown="0" showInputMessage="0" showErrorMessage="0" allowBlank="1" type="list">
      <formula1>"Y,N"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Kitara course build</dc:creator>
  <dcterms:created xmlns:dcterms="http://purl.org/dc/terms/" xmlns:xsi="http://www.w3.org/2001/XMLSchema-instance" xsi:type="dcterms:W3CDTF">2026-10-29T09:00:00Z</dcterms:created>
  <dcterms:modified xmlns:dcterms="http://purl.org/dc/terms/" xmlns:xsi="http://www.w3.org/2001/XMLSchema-instance" xsi:type="dcterms:W3CDTF">2026-10-29T09:00:00Z</dcterms:modified>
</cp:coreProperties>
</file>