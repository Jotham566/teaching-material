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4" fillId="0" borderId="1" applyAlignment="1" pivotButton="0" quotePrefix="0" xfId="0">
      <alignment vertical="bottom" wrapText="1"/>
    </xf>
    <xf numFmtId="0" fontId="2" fillId="0" borderId="2" pivotButton="0" quotePrefix="0" xfId="0"/>
    <xf numFmtId="0" fontId="2" fillId="2" borderId="2" pivotButton="0" quotePrefix="0" xfId="0"/>
    <xf numFmtId="3" fontId="2" fillId="2" borderId="2" pivotButton="0" quotePrefix="0" xfId="0"/>
    <xf numFmtId="0" fontId="0" fillId="0" borderId="2" pivotButton="0" quotePrefix="0" xfId="0"/>
    <xf numFmtId="3" fontId="2" fillId="0" borderId="2" pivotButton="0" quotePrefix="0" xfId="0"/>
    <xf numFmtId="3" fontId="2" fillId="0" borderId="0" pivotButton="0" quotePrefix="0" xfId="0"/>
    <xf numFmtId="3" fontId="4" fillId="0" borderId="0" pivotButton="0" quotePrefix="0" xfId="0"/>
    <xf numFmtId="1" fontId="2" fillId="0" borderId="0" pivotButton="0" quotePrefix="0" xfId="0"/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Hosting Cost Model</t>
        </is>
      </c>
    </row>
    <row r="3">
      <c r="A3" s="2" t="inlineStr">
        <is>
          <t>This model has no prices in it. Every cost cell marked YOUR INPUT is blank. Fill it from quotes you have received, or from your own invoices.</t>
        </is>
      </c>
    </row>
    <row r="4">
      <c r="A4" s="2" t="inlineStr">
        <is>
          <t>Do not copy list prices from a web page. They change, and they differ by country and by contract.</t>
        </is>
      </c>
    </row>
    <row r="5">
      <c r="A5" s="2" t="inlineStr">
        <is>
          <t>Choose the basis for each line: One-off, Per month or Per year. The model turns every line into a total for the number of years you set.</t>
        </is>
      </c>
    </row>
    <row r="6">
      <c r="A6" s="2" t="inlineStr">
        <is>
          <t>The total for each option sits at the bottom of the Model sheet. Lines you leave blank count as zero, so the total is a lower bound until Inputs missing shows 0.</t>
        </is>
      </c>
    </row>
    <row r="7">
      <c r="A7" s="2" t="inlineStr">
        <is>
          <t>Compare options on more than cost. Fill in the residency and latency rows too.</t>
        </is>
      </c>
    </row>
    <row r="8"/>
    <row r="9">
      <c r="A9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Hosting Cost Model</t>
        </is>
      </c>
    </row>
    <row r="2">
      <c r="A2" s="4" t="inlineStr">
        <is>
          <t>Currency</t>
        </is>
      </c>
      <c r="B2" s="5" t="inlineStr">
        <is>
          <t>UGX</t>
        </is>
      </c>
    </row>
    <row r="3">
      <c r="A3" s="4" t="inlineStr">
        <is>
          <t>Years in the comparison</t>
        </is>
      </c>
      <c r="B3" s="5" t="n">
        <v>3</v>
      </c>
    </row>
    <row r="5">
      <c r="A5" s="6" t="inlineStr">
        <is>
          <t>Cost line</t>
        </is>
      </c>
      <c r="B5" s="6" t="inlineStr">
        <is>
          <t>Basis</t>
        </is>
      </c>
      <c r="C5" s="6" t="inlineStr">
        <is>
          <t>Option A: on-site (YOUR INPUT)</t>
        </is>
      </c>
      <c r="D5" s="6" t="inlineStr">
        <is>
          <t>Option B: local data centre (YOUR INPUT)</t>
        </is>
      </c>
      <c r="E5" s="6" t="inlineStr">
        <is>
          <t>Option C: regional cloud (YOUR INPUT)</t>
        </is>
      </c>
      <c r="F5" s="6" t="inlineStr">
        <is>
          <t>Option D: software as a service (YOUR INPUT)</t>
        </is>
      </c>
      <c r="G5" s="6" t="inlineStr"/>
      <c r="H5" s="6" t="inlineStr">
        <is>
          <t>Option A: on-site total</t>
        </is>
      </c>
      <c r="I5" s="6" t="inlineStr">
        <is>
          <t>Option B: local data centre total</t>
        </is>
      </c>
      <c r="J5" s="6" t="inlineStr">
        <is>
          <t>Option C: regional cloud total</t>
        </is>
      </c>
      <c r="K5" s="6" t="inlineStr">
        <is>
          <t>Option D: software as a service total</t>
        </is>
      </c>
    </row>
    <row r="6">
      <c r="A6" s="7" t="inlineStr">
        <is>
          <t>Hardware and set-up</t>
        </is>
      </c>
      <c r="B6" s="8" t="inlineStr">
        <is>
          <t>One-off</t>
        </is>
      </c>
      <c r="C6" s="9" t="n"/>
      <c r="D6" s="9" t="n"/>
      <c r="E6" s="9" t="n"/>
      <c r="F6" s="9" t="n"/>
      <c r="G6" s="10" t="n"/>
      <c r="H6" s="11">
        <f>IF(C6="",0,IF($B6="One-off",C6,IF($B6="Per month",C6*12*$B$3,C6*$B$3)))</f>
        <v/>
      </c>
      <c r="I6" s="11">
        <f>IF(D6="",0,IF($B6="One-off",D6,IF($B6="Per month",D6*12*$B$3,D6*$B$3)))</f>
        <v/>
      </c>
      <c r="J6" s="11">
        <f>IF(E6="",0,IF($B6="One-off",E6,IF($B6="Per month",E6*12*$B$3,E6*$B$3)))</f>
        <v/>
      </c>
      <c r="K6" s="12">
        <f>IF(F6="",0,IF($B6="One-off",F6,IF($B6="Per month",F6*12*$B$3,F6*$B$3)))</f>
        <v/>
      </c>
    </row>
    <row r="7">
      <c r="A7" s="7" t="inlineStr">
        <is>
          <t>Hosting or rent</t>
        </is>
      </c>
      <c r="B7" s="8" t="inlineStr">
        <is>
          <t>Per month</t>
        </is>
      </c>
      <c r="C7" s="9" t="n"/>
      <c r="D7" s="9" t="n"/>
      <c r="E7" s="9" t="n"/>
      <c r="F7" s="9" t="n"/>
      <c r="G7" s="10" t="n"/>
      <c r="H7" s="11">
        <f>IF(C7="",0,IF($B7="One-off",C7,IF($B7="Per month",C7*12*$B$3,C7*$B$3)))</f>
        <v/>
      </c>
      <c r="I7" s="11">
        <f>IF(D7="",0,IF($B7="One-off",D7,IF($B7="Per month",D7*12*$B$3,D7*$B$3)))</f>
        <v/>
      </c>
      <c r="J7" s="11">
        <f>IF(E7="",0,IF($B7="One-off",E7,IF($B7="Per month",E7*12*$B$3,E7*$B$3)))</f>
        <v/>
      </c>
      <c r="K7" s="12">
        <f>IF(F7="",0,IF($B7="One-off",F7,IF($B7="Per month",F7*12*$B$3,F7*$B$3)))</f>
        <v/>
      </c>
    </row>
    <row r="8">
      <c r="A8" s="7" t="inlineStr">
        <is>
          <t>Connectivity</t>
        </is>
      </c>
      <c r="B8" s="8" t="inlineStr">
        <is>
          <t>Per month</t>
        </is>
      </c>
      <c r="C8" s="9" t="n"/>
      <c r="D8" s="9" t="n"/>
      <c r="E8" s="9" t="n"/>
      <c r="F8" s="9" t="n"/>
      <c r="G8" s="10" t="n"/>
      <c r="H8" s="11">
        <f>IF(C8="",0,IF($B8="One-off",C8,IF($B8="Per month",C8*12*$B$3,C8*$B$3)))</f>
        <v/>
      </c>
      <c r="I8" s="11">
        <f>IF(D8="",0,IF($B8="One-off",D8,IF($B8="Per month",D8*12*$B$3,D8*$B$3)))</f>
        <v/>
      </c>
      <c r="J8" s="11">
        <f>IF(E8="",0,IF($B8="One-off",E8,IF($B8="Per month",E8*12*$B$3,E8*$B$3)))</f>
        <v/>
      </c>
      <c r="K8" s="12">
        <f>IF(F8="",0,IF($B8="One-off",F8,IF($B8="Per month",F8*12*$B$3,F8*$B$3)))</f>
        <v/>
      </c>
    </row>
    <row r="9">
      <c r="A9" s="7" t="inlineStr">
        <is>
          <t>Licences and subscriptions</t>
        </is>
      </c>
      <c r="B9" s="8" t="inlineStr">
        <is>
          <t>Per year</t>
        </is>
      </c>
      <c r="C9" s="9" t="n"/>
      <c r="D9" s="9" t="n"/>
      <c r="E9" s="9" t="n"/>
      <c r="F9" s="9" t="n"/>
      <c r="G9" s="10" t="n"/>
      <c r="H9" s="11">
        <f>IF(C9="",0,IF($B9="One-off",C9,IF($B9="Per month",C9*12*$B$3,C9*$B$3)))</f>
        <v/>
      </c>
      <c r="I9" s="11">
        <f>IF(D9="",0,IF($B9="One-off",D9,IF($B9="Per month",D9*12*$B$3,D9*$B$3)))</f>
        <v/>
      </c>
      <c r="J9" s="11">
        <f>IF(E9="",0,IF($B9="One-off",E9,IF($B9="Per month",E9*12*$B$3,E9*$B$3)))</f>
        <v/>
      </c>
      <c r="K9" s="12">
        <f>IF(F9="",0,IF($B9="One-off",F9,IF($B9="Per month",F9*12*$B$3,F9*$B$3)))</f>
        <v/>
      </c>
    </row>
    <row r="10">
      <c r="A10" s="7" t="inlineStr">
        <is>
          <t>Engineers (salary and benefits)</t>
        </is>
      </c>
      <c r="B10" s="8" t="inlineStr">
        <is>
          <t>Per month</t>
        </is>
      </c>
      <c r="C10" s="9" t="n"/>
      <c r="D10" s="9" t="n"/>
      <c r="E10" s="9" t="n"/>
      <c r="F10" s="9" t="n"/>
      <c r="G10" s="10" t="n"/>
      <c r="H10" s="11">
        <f>IF(C10="",0,IF($B10="One-off",C10,IF($B10="Per month",C10*12*$B$3,C10*$B$3)))</f>
        <v/>
      </c>
      <c r="I10" s="11">
        <f>IF(D10="",0,IF($B10="One-off",D10,IF($B10="Per month",D10*12*$B$3,D10*$B$3)))</f>
        <v/>
      </c>
      <c r="J10" s="11">
        <f>IF(E10="",0,IF($B10="One-off",E10,IF($B10="Per month",E10*12*$B$3,E10*$B$3)))</f>
        <v/>
      </c>
      <c r="K10" s="12">
        <f>IF(F10="",0,IF($B10="One-off",F10,IF($B10="Per month",F10*12*$B$3,F10*$B$3)))</f>
        <v/>
      </c>
    </row>
    <row r="11">
      <c r="A11" s="7" t="inlineStr">
        <is>
          <t>Evaluation and testing</t>
        </is>
      </c>
      <c r="B11" s="8" t="inlineStr">
        <is>
          <t>One-off</t>
        </is>
      </c>
      <c r="C11" s="9" t="n"/>
      <c r="D11" s="9" t="n"/>
      <c r="E11" s="9" t="n"/>
      <c r="F11" s="9" t="n"/>
      <c r="G11" s="10" t="n"/>
      <c r="H11" s="11">
        <f>IF(C11="",0,IF($B11="One-off",C11,IF($B11="Per month",C11*12*$B$3,C11*$B$3)))</f>
        <v/>
      </c>
      <c r="I11" s="11">
        <f>IF(D11="",0,IF($B11="One-off",D11,IF($B11="Per month",D11*12*$B$3,D11*$B$3)))</f>
        <v/>
      </c>
      <c r="J11" s="11">
        <f>IF(E11="",0,IF($B11="One-off",E11,IF($B11="Per month",E11*12*$B$3,E11*$B$3)))</f>
        <v/>
      </c>
      <c r="K11" s="12">
        <f>IF(F11="",0,IF($B11="One-off",F11,IF($B11="Per month",F11*12*$B$3,F11*$B$3)))</f>
        <v/>
      </c>
    </row>
    <row r="12">
      <c r="A12" s="7" t="inlineStr">
        <is>
          <t>Support and maintenance</t>
        </is>
      </c>
      <c r="B12" s="8" t="inlineStr">
        <is>
          <t>Per year</t>
        </is>
      </c>
      <c r="C12" s="9" t="n"/>
      <c r="D12" s="9" t="n"/>
      <c r="E12" s="9" t="n"/>
      <c r="F12" s="9" t="n"/>
      <c r="G12" s="10" t="n"/>
      <c r="H12" s="11">
        <f>IF(C12="",0,IF($B12="One-off",C12,IF($B12="Per month",C12*12*$B$3,C12*$B$3)))</f>
        <v/>
      </c>
      <c r="I12" s="11">
        <f>IF(D12="",0,IF($B12="One-off",D12,IF($B12="Per month",D12*12*$B$3,D12*$B$3)))</f>
        <v/>
      </c>
      <c r="J12" s="11">
        <f>IF(E12="",0,IF($B12="One-off",E12,IF($B12="Per month",E12*12*$B$3,E12*$B$3)))</f>
        <v/>
      </c>
      <c r="K12" s="12">
        <f>IF(F12="",0,IF($B12="One-off",F12,IF($B12="Per month",F12*12*$B$3,F12*$B$3)))</f>
        <v/>
      </c>
    </row>
    <row r="13">
      <c r="A13" s="7" t="inlineStr">
        <is>
          <t>Training</t>
        </is>
      </c>
      <c r="B13" s="8" t="inlineStr">
        <is>
          <t>One-off</t>
        </is>
      </c>
      <c r="C13" s="9" t="n"/>
      <c r="D13" s="9" t="n"/>
      <c r="E13" s="9" t="n"/>
      <c r="F13" s="9" t="n"/>
      <c r="G13" s="10" t="n"/>
      <c r="H13" s="11">
        <f>IF(C13="",0,IF($B13="One-off",C13,IF($B13="Per month",C13*12*$B$3,C13*$B$3)))</f>
        <v/>
      </c>
      <c r="I13" s="11">
        <f>IF(D13="",0,IF($B13="One-off",D13,IF($B13="Per month",D13*12*$B$3,D13*$B$3)))</f>
        <v/>
      </c>
      <c r="J13" s="11">
        <f>IF(E13="",0,IF($B13="One-off",E13,IF($B13="Per month",E13*12*$B$3,E13*$B$3)))</f>
        <v/>
      </c>
      <c r="K13" s="12">
        <f>IF(F13="",0,IF($B13="One-off",F13,IF($B13="Per month",F13*12*$B$3,F13*$B$3)))</f>
        <v/>
      </c>
    </row>
    <row r="14">
      <c r="A14" s="7" t="inlineStr">
        <is>
          <t>Backup and recovery</t>
        </is>
      </c>
      <c r="B14" s="8" t="inlineStr">
        <is>
          <t>Per year</t>
        </is>
      </c>
      <c r="C14" s="9" t="n"/>
      <c r="D14" s="9" t="n"/>
      <c r="E14" s="9" t="n"/>
      <c r="F14" s="9" t="n"/>
      <c r="G14" s="10" t="n"/>
      <c r="H14" s="11">
        <f>IF(C14="",0,IF($B14="One-off",C14,IF($B14="Per month",C14*12*$B$3,C14*$B$3)))</f>
        <v/>
      </c>
      <c r="I14" s="11">
        <f>IF(D14="",0,IF($B14="One-off",D14,IF($B14="Per month",D14*12*$B$3,D14*$B$3)))</f>
        <v/>
      </c>
      <c r="J14" s="11">
        <f>IF(E14="",0,IF($B14="One-off",E14,IF($B14="Per month",E14*12*$B$3,E14*$B$3)))</f>
        <v/>
      </c>
      <c r="K14" s="12">
        <f>IF(F14="",0,IF($B14="One-off",F14,IF($B14="Per month",F14*12*$B$3,F14*$B$3)))</f>
        <v/>
      </c>
    </row>
    <row r="15">
      <c r="A15" s="7" t="inlineStr">
        <is>
          <t>Security review</t>
        </is>
      </c>
      <c r="B15" s="8" t="inlineStr">
        <is>
          <t>One-off</t>
        </is>
      </c>
      <c r="C15" s="9" t="n"/>
      <c r="D15" s="9" t="n"/>
      <c r="E15" s="9" t="n"/>
      <c r="F15" s="9" t="n"/>
      <c r="G15" s="10" t="n"/>
      <c r="H15" s="11">
        <f>IF(C15="",0,IF($B15="One-off",C15,IF($B15="Per month",C15*12*$B$3,C15*$B$3)))</f>
        <v/>
      </c>
      <c r="I15" s="11">
        <f>IF(D15="",0,IF($B15="One-off",D15,IF($B15="Per month",D15*12*$B$3,D15*$B$3)))</f>
        <v/>
      </c>
      <c r="J15" s="11">
        <f>IF(E15="",0,IF($B15="One-off",E15,IF($B15="Per month",E15*12*$B$3,E15*$B$3)))</f>
        <v/>
      </c>
      <c r="K15" s="12">
        <f>IF(F15="",0,IF($B15="One-off",F15,IF($B15="Per month",F15*12*$B$3,F15*$B$3)))</f>
        <v/>
      </c>
    </row>
    <row r="16">
      <c r="A16" s="7" t="inlineStr">
        <is>
          <t>Exit and data return</t>
        </is>
      </c>
      <c r="B16" s="8" t="inlineStr">
        <is>
          <t>One-off</t>
        </is>
      </c>
      <c r="C16" s="9" t="n"/>
      <c r="D16" s="9" t="n"/>
      <c r="E16" s="9" t="n"/>
      <c r="F16" s="9" t="n"/>
      <c r="G16" s="10" t="n"/>
      <c r="H16" s="11">
        <f>IF(C16="",0,IF($B16="One-off",C16,IF($B16="Per month",C16*12*$B$3,C16*$B$3)))</f>
        <v/>
      </c>
      <c r="I16" s="11">
        <f>IF(D16="",0,IF($B16="One-off",D16,IF($B16="Per month",D16*12*$B$3,D16*$B$3)))</f>
        <v/>
      </c>
      <c r="J16" s="11">
        <f>IF(E16="",0,IF($B16="One-off",E16,IF($B16="Per month",E16*12*$B$3,E16*$B$3)))</f>
        <v/>
      </c>
      <c r="K16" s="12">
        <f>IF(F16="",0,IF($B16="One-off",F16,IF($B16="Per month",F16*12*$B$3,F16*$B$3)))</f>
        <v/>
      </c>
    </row>
    <row r="17">
      <c r="A17" s="7" t="inlineStr">
        <is>
          <t>Other (name it)</t>
        </is>
      </c>
      <c r="B17" s="8" t="inlineStr">
        <is>
          <t>One-off</t>
        </is>
      </c>
      <c r="C17" s="9" t="n"/>
      <c r="D17" s="9" t="n"/>
      <c r="E17" s="9" t="n"/>
      <c r="F17" s="9" t="n"/>
      <c r="G17" s="10" t="n"/>
      <c r="H17" s="11">
        <f>IF(C17="",0,IF($B17="One-off",C17,IF($B17="Per month",C17*12*$B$3,C17*$B$3)))</f>
        <v/>
      </c>
      <c r="I17" s="11">
        <f>IF(D17="",0,IF($B17="One-off",D17,IF($B17="Per month",D17*12*$B$3,D17*$B$3)))</f>
        <v/>
      </c>
      <c r="J17" s="11">
        <f>IF(E17="",0,IF($B17="One-off",E17,IF($B17="Per month",E17*12*$B$3,E17*$B$3)))</f>
        <v/>
      </c>
      <c r="K17" s="12">
        <f>IF(F17="",0,IF($B17="One-off",F17,IF($B17="Per month",F17*12*$B$3,F17*$B$3)))</f>
        <v/>
      </c>
    </row>
    <row r="19">
      <c r="A19" s="4" t="inlineStr">
        <is>
          <t>Total for the years chosen</t>
        </is>
      </c>
      <c r="H19" s="13">
        <f>SUM(H6:H17)</f>
        <v/>
      </c>
      <c r="I19" s="13">
        <f>SUM(I6:I17)</f>
        <v/>
      </c>
      <c r="J19" s="13">
        <f>SUM(J6:J17)</f>
        <v/>
      </c>
      <c r="K19" s="13">
        <f>SUM(K6:K17)</f>
        <v/>
      </c>
    </row>
    <row r="20">
      <c r="A20" s="4" t="inlineStr">
        <is>
          <t>Inputs missing (blank cost cells)</t>
        </is>
      </c>
      <c r="C20" s="14">
        <f>COUNTBLANK(C6:C17)</f>
        <v/>
      </c>
      <c r="D20" s="14">
        <f>COUNTBLANK(D6:D17)</f>
        <v/>
      </c>
      <c r="E20" s="14">
        <f>COUNTBLANK(E6:E17)</f>
        <v/>
      </c>
      <c r="F20" s="14">
        <f>COUNTBLANK(F6:F17)</f>
        <v/>
      </c>
    </row>
    <row r="21">
      <c r="A21" s="4" t="inlineStr">
        <is>
          <t>Average cost per year</t>
        </is>
      </c>
      <c r="H21" s="12">
        <f>IFERROR(H19/$B$3,"")</f>
        <v/>
      </c>
      <c r="I21" s="12">
        <f>IFERROR(I19/$B$3,"")</f>
        <v/>
      </c>
      <c r="J21" s="12">
        <f>IFERROR(J19/$B$3,"")</f>
        <v/>
      </c>
      <c r="K21" s="12">
        <f>IFERROR(K19/$B$3,"")</f>
        <v/>
      </c>
    </row>
    <row r="23">
      <c r="A23" s="4" t="inlineStr">
        <is>
          <t>Other things to compare</t>
        </is>
      </c>
    </row>
    <row r="24">
      <c r="A24" s="7" t="inlineStr">
        <is>
          <t>Data stays in the country (Y/N)</t>
        </is>
      </c>
      <c r="B24" s="10" t="n"/>
      <c r="C24" s="15" t="n"/>
      <c r="D24" s="15" t="n"/>
      <c r="E24" s="15" t="n"/>
      <c r="F24" s="15" t="n"/>
    </row>
    <row r="25">
      <c r="A25" s="7" t="inlineStr">
        <is>
          <t>Round-trip latency to users (ms)</t>
        </is>
      </c>
      <c r="B25" s="10" t="n"/>
      <c r="C25" s="15" t="n"/>
      <c r="D25" s="15" t="n"/>
      <c r="E25" s="15" t="n"/>
      <c r="F25" s="15" t="n"/>
    </row>
    <row r="26">
      <c r="A26" s="7" t="inlineStr">
        <is>
          <t>Capacity in 12 months (users, documents)</t>
        </is>
      </c>
      <c r="B26" s="10" t="n"/>
      <c r="C26" s="15" t="n"/>
      <c r="D26" s="15" t="n"/>
      <c r="E26" s="15" t="n"/>
      <c r="F26" s="15" t="n"/>
    </row>
    <row r="27">
      <c r="A27" s="7" t="inlineStr">
        <is>
          <t>Who can see the data (vendor staff, cloud operator)</t>
        </is>
      </c>
      <c r="B27" s="10" t="n"/>
      <c r="C27" s="15" t="n"/>
      <c r="D27" s="15" t="n"/>
      <c r="E27" s="15" t="n"/>
      <c r="F27" s="15" t="n"/>
    </row>
    <row r="28">
      <c r="A28" s="7" t="inlineStr">
        <is>
          <t>Lock-in and exit route</t>
        </is>
      </c>
      <c r="B28" s="10" t="n"/>
      <c r="C28" s="15" t="n"/>
      <c r="D28" s="15" t="n"/>
      <c r="E28" s="15" t="n"/>
      <c r="F28" s="15" t="n"/>
    </row>
  </sheetData>
  <dataValidations count="2">
    <dataValidation sqref="B6:B17" showDropDown="0" showInputMessage="0" showErrorMessage="0" allowBlank="1" type="list">
      <formula1>"One-off,Per month,Per year"</formula1>
    </dataValidation>
    <dataValidation sqref="C24:F24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