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gi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1"/>
    </font>
    <font>
      <name val="Calibri"/>
      <i val="1"/>
      <color rgb="00595959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FFF8E5"/>
      </patternFill>
    </fill>
  </fills>
  <borders count="3">
    <border>
      <left/>
      <right/>
      <top/>
      <bottom/>
      <diagonal/>
    </border>
    <border>
      <bottom style="thin">
        <color rgb="00404040"/>
      </bottom>
    </border>
    <border>
      <bottom style="hair">
        <color rgb="0080808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bottom" wrapText="1"/>
    </xf>
    <xf numFmtId="0" fontId="2" fillId="2" borderId="2" applyAlignment="1" pivotButton="0" quotePrefix="0" xfId="0">
      <alignment vertical="top" wrapText="1"/>
    </xf>
    <xf numFmtId="164" fontId="2" fillId="2" borderId="2" applyAlignment="1" pivotButton="0" quotePrefix="0" xfId="0">
      <alignment vertical="top" wrapText="1"/>
    </xf>
    <xf numFmtId="164" fontId="2" fillId="0" borderId="2" pivotButton="0" quotePrefix="0" xfId="0"/>
    <xf numFmtId="0" fontId="2" fillId="0" borderId="2" pivotButton="0" quotePrefix="0" xfId="0"/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9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Licence Register</t>
        </is>
      </c>
    </row>
    <row r="3">
      <c r="A3" s="2" t="inlineStr">
        <is>
          <t>List every tool, library or model you would use. Read the licence file in the project itself, not a summary on a web page.</t>
        </is>
      </c>
    </row>
    <row r="4">
      <c r="A4" s="2" t="inlineStr">
        <is>
          <t>Write the licence name exactly as the file gives it. Choose a class from the drop-down.</t>
        </is>
      </c>
    </row>
    <row r="5">
      <c r="A5" s="2" t="inlineStr">
        <is>
          <t>Open source (permissive) and Open source (copyleft) are open licences. Source-available means you can read the code but there are limits on use. Restricted or commercial means you need to pay or ask.</t>
        </is>
      </c>
    </row>
    <row r="6">
      <c r="A6" s="2" t="inlineStr">
        <is>
          <t>Review due is one year after the date checked. Status shows Review due when that date has passed.</t>
        </is>
      </c>
    </row>
    <row r="7">
      <c r="A7" s="2" t="inlineStr">
        <is>
          <t>For a model, record the licence on the model card, not only the licence of the library that runs it.</t>
        </is>
      </c>
    </row>
    <row r="8"/>
    <row r="9">
      <c r="A9" s="3" t="inlineStr">
        <is>
          <t>Cells with a light cream tint are for your input. All other cells are formulas or fixed text.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3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6" customWidth="1" min="2" max="2"/>
    <col width="10" customWidth="1" min="3" max="3"/>
    <col width="26" customWidth="1" min="4" max="4"/>
    <col width="24" customWidth="1" min="5" max="5"/>
    <col width="28" customWidth="1" min="6" max="6"/>
    <col width="16" customWidth="1" min="7" max="7"/>
    <col width="14" customWidth="1" min="8" max="8"/>
    <col width="16" customWidth="1" min="9" max="9"/>
    <col width="18" customWidth="1" min="10" max="10"/>
    <col width="30" customWidth="1" min="11" max="11"/>
    <col width="12" customWidth="1" min="12" max="12"/>
    <col width="12" customWidth="1" min="13" max="13"/>
  </cols>
  <sheetData>
    <row r="1">
      <c r="A1" s="1" t="inlineStr">
        <is>
          <t>Licence Register</t>
        </is>
      </c>
    </row>
    <row r="3">
      <c r="A3" s="4" t="inlineStr">
        <is>
          <t>Tool or model</t>
        </is>
      </c>
      <c r="B3" s="4" t="inlineStr">
        <is>
          <t>Used for</t>
        </is>
      </c>
      <c r="C3" s="4" t="inlineStr">
        <is>
          <t>Version</t>
        </is>
      </c>
      <c r="D3" s="4" t="inlineStr">
        <is>
          <t>Licence (as written in the file)</t>
        </is>
      </c>
      <c r="E3" s="4" t="inlineStr">
        <is>
          <t>Licence class</t>
        </is>
      </c>
      <c r="F3" s="4" t="inlineStr">
        <is>
          <t>Where you read it</t>
        </is>
      </c>
      <c r="G3" s="4" t="inlineStr">
        <is>
          <t>Date checked (yyyy-mm-dd)</t>
        </is>
      </c>
      <c r="H3" s="4" t="inlineStr">
        <is>
          <t>Checked by</t>
        </is>
      </c>
      <c r="I3" s="4" t="inlineStr">
        <is>
          <t>Allowed for internal use (Y/N/Ask)</t>
        </is>
      </c>
      <c r="J3" s="4" t="inlineStr">
        <is>
          <t>Allowed to include in a product (Y/N/Ask)</t>
        </is>
      </c>
      <c r="K3" s="4" t="inlineStr">
        <is>
          <t>Notes</t>
        </is>
      </c>
      <c r="L3" s="4" t="inlineStr">
        <is>
          <t>Review due</t>
        </is>
      </c>
      <c r="M3" s="4" t="inlineStr">
        <is>
          <t>Status</t>
        </is>
      </c>
    </row>
    <row r="4">
      <c r="A4" s="5" t="inlineStr">
        <is>
          <t>Google Colab</t>
        </is>
      </c>
      <c r="B4" s="5" t="inlineStr">
        <is>
          <t>Run notebooks in the browser</t>
        </is>
      </c>
      <c r="C4" s="5" t="n"/>
      <c r="D4" s="5" t="n"/>
      <c r="E4" s="5" t="n"/>
      <c r="F4" s="5" t="n"/>
      <c r="G4" s="6" t="n"/>
      <c r="H4" s="5" t="n"/>
      <c r="I4" s="5" t="n"/>
      <c r="J4" s="5" t="n"/>
      <c r="K4" s="5" t="n"/>
      <c r="L4" s="7">
        <f>IF(G4="","",EDATE(G4,12))</f>
        <v/>
      </c>
      <c r="M4" s="8">
        <f>IF(A4="","",IF(G4="","Not checked",IF(TODAY()&gt;L4,"Review due","OK")))</f>
        <v/>
      </c>
    </row>
    <row r="5">
      <c r="A5" s="5" t="inlineStr">
        <is>
          <t>Python with pandas, pypdf, pdfplumber, matplotlib</t>
        </is>
      </c>
      <c r="B5" s="5" t="inlineStr">
        <is>
          <t>Profile data, extract text, score searches</t>
        </is>
      </c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7">
        <f>IF(G5="","",EDATE(G5,12))</f>
        <v/>
      </c>
      <c r="M5" s="8">
        <f>IF(A5="","",IF(G5="","Not checked",IF(TODAY()&gt;L5,"Review due","OK")))</f>
        <v/>
      </c>
    </row>
    <row r="6">
      <c r="A6" s="5" t="inlineStr">
        <is>
          <t>Tesseract OCR</t>
        </is>
      </c>
      <c r="B6" s="5" t="inlineStr">
        <is>
          <t>Read scanned pages</t>
        </is>
      </c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7">
        <f>IF(G6="","",EDATE(G6,12))</f>
        <v/>
      </c>
      <c r="M6" s="8">
        <f>IF(A6="","",IF(G6="","Not checked",IF(TODAY()&gt;L6,"Review due","OK")))</f>
        <v/>
      </c>
    </row>
    <row r="7">
      <c r="A7" s="5" t="inlineStr">
        <is>
          <t>sentence-transformers</t>
        </is>
      </c>
      <c r="B7" s="5" t="inlineStr">
        <is>
          <t>Embeddings for meaning search</t>
        </is>
      </c>
      <c r="C7" s="5" t="n"/>
      <c r="D7" s="5" t="n"/>
      <c r="E7" s="5" t="n"/>
      <c r="F7" s="5" t="n"/>
      <c r="G7" s="6" t="n"/>
      <c r="H7" s="5" t="n"/>
      <c r="I7" s="5" t="n"/>
      <c r="J7" s="5" t="n"/>
      <c r="K7" s="5" t="n"/>
      <c r="L7" s="7">
        <f>IF(G7="","",EDATE(G7,12))</f>
        <v/>
      </c>
      <c r="M7" s="8">
        <f>IF(A7="","",IF(G7="","Not checked",IF(TODAY()&gt;L7,"Review due","OK")))</f>
        <v/>
      </c>
    </row>
    <row r="8">
      <c r="A8" s="5" t="inlineStr">
        <is>
          <t>Chroma</t>
        </is>
      </c>
      <c r="B8" s="5" t="inlineStr">
        <is>
          <t>Store and search vectors</t>
        </is>
      </c>
      <c r="C8" s="5" t="n"/>
      <c r="D8" s="5" t="n"/>
      <c r="E8" s="5" t="n"/>
      <c r="F8" s="5" t="n"/>
      <c r="G8" s="6" t="n"/>
      <c r="H8" s="5" t="n"/>
      <c r="I8" s="5" t="n"/>
      <c r="J8" s="5" t="n"/>
      <c r="K8" s="5" t="n"/>
      <c r="L8" s="7">
        <f>IF(G8="","",EDATE(G8,12))</f>
        <v/>
      </c>
      <c r="M8" s="8">
        <f>IF(A8="","",IF(G8="","Not checked",IF(TODAY()&gt;L8,"Review due","OK")))</f>
        <v/>
      </c>
    </row>
    <row r="9">
      <c r="A9" s="5" t="inlineStr">
        <is>
          <t>PostgreSQL with pgvector</t>
        </is>
      </c>
      <c r="B9" s="5" t="inlineStr">
        <is>
          <t>Store and search vectors</t>
        </is>
      </c>
      <c r="C9" s="5" t="n"/>
      <c r="D9" s="5" t="n"/>
      <c r="E9" s="5" t="n"/>
      <c r="F9" s="5" t="n"/>
      <c r="G9" s="6" t="n"/>
      <c r="H9" s="5" t="n"/>
      <c r="I9" s="5" t="n"/>
      <c r="J9" s="5" t="n"/>
      <c r="K9" s="5" t="n"/>
      <c r="L9" s="7">
        <f>IF(G9="","",EDATE(G9,12))</f>
        <v/>
      </c>
      <c r="M9" s="8">
        <f>IF(A9="","",IF(G9="","Not checked",IF(TODAY()&gt;L9,"Review due","OK")))</f>
        <v/>
      </c>
    </row>
    <row r="10">
      <c r="A10" s="5" t="inlineStr">
        <is>
          <t>DuckDB and Parquet</t>
        </is>
      </c>
      <c r="B10" s="5" t="inlineStr">
        <is>
          <t>Fast analytical SQL on files</t>
        </is>
      </c>
      <c r="C10" s="5" t="n"/>
      <c r="D10" s="5" t="n"/>
      <c r="E10" s="5" t="n"/>
      <c r="F10" s="5" t="n"/>
      <c r="G10" s="6" t="n"/>
      <c r="H10" s="5" t="n"/>
      <c r="I10" s="5" t="n"/>
      <c r="J10" s="5" t="n"/>
      <c r="K10" s="5" t="n"/>
      <c r="L10" s="7">
        <f>IF(G10="","",EDATE(G10,12))</f>
        <v/>
      </c>
      <c r="M10" s="8">
        <f>IF(A10="","",IF(G10="","Not checked",IF(TODAY()&gt;L10,"Review due","OK")))</f>
        <v/>
      </c>
    </row>
    <row r="11">
      <c r="A11" s="5" t="inlineStr">
        <is>
          <t>Pandera</t>
        </is>
      </c>
      <c r="B11" s="5" t="inlineStr">
        <is>
          <t>Quality rules a machine checks</t>
        </is>
      </c>
      <c r="C11" s="5" t="n"/>
      <c r="D11" s="5" t="n"/>
      <c r="E11" s="5" t="n"/>
      <c r="F11" s="5" t="n"/>
      <c r="G11" s="6" t="n"/>
      <c r="H11" s="5" t="n"/>
      <c r="I11" s="5" t="n"/>
      <c r="J11" s="5" t="n"/>
      <c r="K11" s="5" t="n"/>
      <c r="L11" s="7">
        <f>IF(G11="","",EDATE(G11,12))</f>
        <v/>
      </c>
      <c r="M11" s="8">
        <f>IF(A11="","",IF(G11="","Not checked",IF(TODAY()&gt;L11,"Review due","OK")))</f>
        <v/>
      </c>
    </row>
    <row r="12">
      <c r="A12" s="5" t="inlineStr">
        <is>
          <t>Great Expectations Core</t>
        </is>
      </c>
      <c r="B12" s="5" t="inlineStr">
        <is>
          <t>Quality rules a machine checks</t>
        </is>
      </c>
      <c r="C12" s="5" t="n"/>
      <c r="D12" s="5" t="n"/>
      <c r="E12" s="5" t="n"/>
      <c r="F12" s="5" t="n"/>
      <c r="G12" s="6" t="n"/>
      <c r="H12" s="5" t="n"/>
      <c r="I12" s="5" t="n"/>
      <c r="J12" s="5" t="n"/>
      <c r="K12" s="5" t="n"/>
      <c r="L12" s="7">
        <f>IF(G12="","",EDATE(G12,12))</f>
        <v/>
      </c>
      <c r="M12" s="8">
        <f>IF(A12="","",IF(G12="","Not checked",IF(TODAY()&gt;L12,"Review due","OK")))</f>
        <v/>
      </c>
    </row>
    <row r="13">
      <c r="A13" s="5" t="inlineStr">
        <is>
          <t>DataHub</t>
        </is>
      </c>
      <c r="B13" s="5" t="inlineStr">
        <is>
          <t>Data catalogue and lineage</t>
        </is>
      </c>
      <c r="C13" s="5" t="n"/>
      <c r="D13" s="5" t="n"/>
      <c r="E13" s="5" t="n"/>
      <c r="F13" s="5" t="n"/>
      <c r="G13" s="6" t="n"/>
      <c r="H13" s="5" t="n"/>
      <c r="I13" s="5" t="n"/>
      <c r="J13" s="5" t="n"/>
      <c r="K13" s="5" t="n"/>
      <c r="L13" s="7">
        <f>IF(G13="","",EDATE(G13,12))</f>
        <v/>
      </c>
      <c r="M13" s="8">
        <f>IF(A13="","",IF(G13="","Not checked",IF(TODAY()&gt;L13,"Review due","OK")))</f>
        <v/>
      </c>
    </row>
    <row r="14">
      <c r="A14" s="5" t="inlineStr">
        <is>
          <t>OpenMetadata</t>
        </is>
      </c>
      <c r="B14" s="5" t="inlineStr">
        <is>
          <t>Data catalogue and lineage</t>
        </is>
      </c>
      <c r="C14" s="5" t="n"/>
      <c r="D14" s="5" t="n"/>
      <c r="E14" s="5" t="n"/>
      <c r="F14" s="5" t="n"/>
      <c r="G14" s="6" t="n"/>
      <c r="H14" s="5" t="n"/>
      <c r="I14" s="5" t="n"/>
      <c r="J14" s="5" t="n"/>
      <c r="K14" s="5" t="n"/>
      <c r="L14" s="7">
        <f>IF(G14="","",EDATE(G14,12))</f>
        <v/>
      </c>
      <c r="M14" s="8">
        <f>IF(A14="","",IF(G14="","Not checked",IF(TODAY()&gt;L14,"Review due","OK")))</f>
        <v/>
      </c>
    </row>
    <row r="15">
      <c r="A15" s="5" t="inlineStr">
        <is>
          <t>Dagster or Apache Airflow</t>
        </is>
      </c>
      <c r="B15" s="5" t="inlineStr">
        <is>
          <t>Schedule pipeline steps</t>
        </is>
      </c>
      <c r="C15" s="5" t="n"/>
      <c r="D15" s="5" t="n"/>
      <c r="E15" s="5" t="n"/>
      <c r="F15" s="5" t="n"/>
      <c r="G15" s="6" t="n"/>
      <c r="H15" s="5" t="n"/>
      <c r="I15" s="5" t="n"/>
      <c r="J15" s="5" t="n"/>
      <c r="K15" s="5" t="n"/>
      <c r="L15" s="7">
        <f>IF(G15="","",EDATE(G15,12))</f>
        <v/>
      </c>
      <c r="M15" s="8">
        <f>IF(A15="","",IF(G15="","Not checked",IF(TODAY()&gt;L15,"Review due","OK")))</f>
        <v/>
      </c>
    </row>
    <row r="16">
      <c r="A16" s="5" t="inlineStr">
        <is>
          <t>Microsoft Presidio</t>
        </is>
      </c>
      <c r="B16" s="5" t="inlineStr">
        <is>
          <t>Find and mask personal data</t>
        </is>
      </c>
      <c r="C16" s="5" t="n"/>
      <c r="D16" s="5" t="n"/>
      <c r="E16" s="5" t="n"/>
      <c r="F16" s="5" t="n"/>
      <c r="G16" s="6" t="n"/>
      <c r="H16" s="5" t="n"/>
      <c r="I16" s="5" t="n"/>
      <c r="J16" s="5" t="n"/>
      <c r="K16" s="5" t="n"/>
      <c r="L16" s="7">
        <f>IF(G16="","",EDATE(G16,12))</f>
        <v/>
      </c>
      <c r="M16" s="8">
        <f>IF(A16="","",IF(G16="","Not checked",IF(TODAY()&gt;L16,"Review due","OK")))</f>
        <v/>
      </c>
    </row>
    <row r="17">
      <c r="A17" s="5" t="inlineStr">
        <is>
          <t>Ragas</t>
        </is>
      </c>
      <c r="B17" s="5" t="inlineStr">
        <is>
          <t>Optional retrieval metrics</t>
        </is>
      </c>
      <c r="C17" s="5" t="n"/>
      <c r="D17" s="5" t="n"/>
      <c r="E17" s="5" t="n"/>
      <c r="F17" s="5" t="n"/>
      <c r="G17" s="6" t="n"/>
      <c r="H17" s="5" t="n"/>
      <c r="I17" s="5" t="n"/>
      <c r="J17" s="5" t="n"/>
      <c r="K17" s="5" t="n"/>
      <c r="L17" s="7">
        <f>IF(G17="","",EDATE(G17,12))</f>
        <v/>
      </c>
      <c r="M17" s="8">
        <f>IF(A17="","",IF(G17="","Not checked",IF(TODAY()&gt;L17,"Review due","OK")))</f>
        <v/>
      </c>
    </row>
    <row r="18">
      <c r="A18" s="5" t="n"/>
      <c r="B18" s="5" t="n"/>
      <c r="C18" s="5" t="n"/>
      <c r="D18" s="5" t="n"/>
      <c r="E18" s="5" t="n"/>
      <c r="F18" s="5" t="n"/>
      <c r="G18" s="6" t="n"/>
      <c r="H18" s="5" t="n"/>
      <c r="I18" s="5" t="n"/>
      <c r="J18" s="5" t="n"/>
      <c r="K18" s="5" t="n"/>
      <c r="L18" s="7">
        <f>IF(G18="","",EDATE(G18,12))</f>
        <v/>
      </c>
      <c r="M18" s="8">
        <f>IF(A18="","",IF(G18="","Not checked",IF(TODAY()&gt;L18,"Review due","OK")))</f>
        <v/>
      </c>
    </row>
    <row r="19">
      <c r="A19" s="5" t="n"/>
      <c r="B19" s="5" t="n"/>
      <c r="C19" s="5" t="n"/>
      <c r="D19" s="5" t="n"/>
      <c r="E19" s="5" t="n"/>
      <c r="F19" s="5" t="n"/>
      <c r="G19" s="6" t="n"/>
      <c r="H19" s="5" t="n"/>
      <c r="I19" s="5" t="n"/>
      <c r="J19" s="5" t="n"/>
      <c r="K19" s="5" t="n"/>
      <c r="L19" s="7">
        <f>IF(G19="","",EDATE(G19,12))</f>
        <v/>
      </c>
      <c r="M19" s="8">
        <f>IF(A19="","",IF(G19="","Not checked",IF(TODAY()&gt;L19,"Review due","OK")))</f>
        <v/>
      </c>
    </row>
    <row r="20">
      <c r="A20" s="5" t="n"/>
      <c r="B20" s="5" t="n"/>
      <c r="C20" s="5" t="n"/>
      <c r="D20" s="5" t="n"/>
      <c r="E20" s="5" t="n"/>
      <c r="F20" s="5" t="n"/>
      <c r="G20" s="6" t="n"/>
      <c r="H20" s="5" t="n"/>
      <c r="I20" s="5" t="n"/>
      <c r="J20" s="5" t="n"/>
      <c r="K20" s="5" t="n"/>
      <c r="L20" s="7">
        <f>IF(G20="","",EDATE(G20,12))</f>
        <v/>
      </c>
      <c r="M20" s="8">
        <f>IF(A20="","",IF(G20="","Not checked",IF(TODAY()&gt;L20,"Review due","OK")))</f>
        <v/>
      </c>
    </row>
    <row r="21">
      <c r="A21" s="5" t="n"/>
      <c r="B21" s="5" t="n"/>
      <c r="C21" s="5" t="n"/>
      <c r="D21" s="5" t="n"/>
      <c r="E21" s="5" t="n"/>
      <c r="F21" s="5" t="n"/>
      <c r="G21" s="6" t="n"/>
      <c r="H21" s="5" t="n"/>
      <c r="I21" s="5" t="n"/>
      <c r="J21" s="5" t="n"/>
      <c r="K21" s="5" t="n"/>
      <c r="L21" s="7">
        <f>IF(G21="","",EDATE(G21,12))</f>
        <v/>
      </c>
      <c r="M21" s="8">
        <f>IF(A21="","",IF(G21="","Not checked",IF(TODAY()&gt;L21,"Review due","OK")))</f>
        <v/>
      </c>
    </row>
    <row r="22">
      <c r="A22" s="5" t="n"/>
      <c r="B22" s="5" t="n"/>
      <c r="C22" s="5" t="n"/>
      <c r="D22" s="5" t="n"/>
      <c r="E22" s="5" t="n"/>
      <c r="F22" s="5" t="n"/>
      <c r="G22" s="6" t="n"/>
      <c r="H22" s="5" t="n"/>
      <c r="I22" s="5" t="n"/>
      <c r="J22" s="5" t="n"/>
      <c r="K22" s="5" t="n"/>
      <c r="L22" s="7">
        <f>IF(G22="","",EDATE(G22,12))</f>
        <v/>
      </c>
      <c r="M22" s="8">
        <f>IF(A22="","",IF(G22="","Not checked",IF(TODAY()&gt;L22,"Review due","OK")))</f>
        <v/>
      </c>
    </row>
    <row r="23">
      <c r="A23" s="5" t="n"/>
      <c r="B23" s="5" t="n"/>
      <c r="C23" s="5" t="n"/>
      <c r="D23" s="5" t="n"/>
      <c r="E23" s="5" t="n"/>
      <c r="F23" s="5" t="n"/>
      <c r="G23" s="6" t="n"/>
      <c r="H23" s="5" t="n"/>
      <c r="I23" s="5" t="n"/>
      <c r="J23" s="5" t="n"/>
      <c r="K23" s="5" t="n"/>
      <c r="L23" s="7">
        <f>IF(G23="","",EDATE(G23,12))</f>
        <v/>
      </c>
      <c r="M23" s="8">
        <f>IF(A23="","",IF(G23="","Not checked",IF(TODAY()&gt;L23,"Review due","OK")))</f>
        <v/>
      </c>
    </row>
    <row r="24">
      <c r="A24" s="5" t="n"/>
      <c r="B24" s="5" t="n"/>
      <c r="C24" s="5" t="n"/>
      <c r="D24" s="5" t="n"/>
      <c r="E24" s="5" t="n"/>
      <c r="F24" s="5" t="n"/>
      <c r="G24" s="6" t="n"/>
      <c r="H24" s="5" t="n"/>
      <c r="I24" s="5" t="n"/>
      <c r="J24" s="5" t="n"/>
      <c r="K24" s="5" t="n"/>
      <c r="L24" s="7">
        <f>IF(G24="","",EDATE(G24,12))</f>
        <v/>
      </c>
      <c r="M24" s="8">
        <f>IF(A24="","",IF(G24="","Not checked",IF(TODAY()&gt;L24,"Review due","OK")))</f>
        <v/>
      </c>
    </row>
    <row r="25">
      <c r="A25" s="5" t="n"/>
      <c r="B25" s="5" t="n"/>
      <c r="C25" s="5" t="n"/>
      <c r="D25" s="5" t="n"/>
      <c r="E25" s="5" t="n"/>
      <c r="F25" s="5" t="n"/>
      <c r="G25" s="6" t="n"/>
      <c r="H25" s="5" t="n"/>
      <c r="I25" s="5" t="n"/>
      <c r="J25" s="5" t="n"/>
      <c r="K25" s="5" t="n"/>
      <c r="L25" s="7">
        <f>IF(G25="","",EDATE(G25,12))</f>
        <v/>
      </c>
      <c r="M25" s="8">
        <f>IF(A25="","",IF(G25="","Not checked",IF(TODAY()&gt;L25,"Review due","OK")))</f>
        <v/>
      </c>
    </row>
    <row r="26">
      <c r="A26" s="5" t="n"/>
      <c r="B26" s="5" t="n"/>
      <c r="C26" s="5" t="n"/>
      <c r="D26" s="5" t="n"/>
      <c r="E26" s="5" t="n"/>
      <c r="F26" s="5" t="n"/>
      <c r="G26" s="6" t="n"/>
      <c r="H26" s="5" t="n"/>
      <c r="I26" s="5" t="n"/>
      <c r="J26" s="5" t="n"/>
      <c r="K26" s="5" t="n"/>
      <c r="L26" s="7">
        <f>IF(G26="","",EDATE(G26,12))</f>
        <v/>
      </c>
      <c r="M26" s="8">
        <f>IF(A26="","",IF(G26="","Not checked",IF(TODAY()&gt;L26,"Review due","OK")))</f>
        <v/>
      </c>
    </row>
    <row r="27">
      <c r="A27" s="5" t="n"/>
      <c r="B27" s="5" t="n"/>
      <c r="C27" s="5" t="n"/>
      <c r="D27" s="5" t="n"/>
      <c r="E27" s="5" t="n"/>
      <c r="F27" s="5" t="n"/>
      <c r="G27" s="6" t="n"/>
      <c r="H27" s="5" t="n"/>
      <c r="I27" s="5" t="n"/>
      <c r="J27" s="5" t="n"/>
      <c r="K27" s="5" t="n"/>
      <c r="L27" s="7">
        <f>IF(G27="","",EDATE(G27,12))</f>
        <v/>
      </c>
      <c r="M27" s="8">
        <f>IF(A27="","",IF(G27="","Not checked",IF(TODAY()&gt;L27,"Review due","OK")))</f>
        <v/>
      </c>
    </row>
    <row r="28">
      <c r="A28" s="5" t="n"/>
      <c r="B28" s="5" t="n"/>
      <c r="C28" s="5" t="n"/>
      <c r="D28" s="5" t="n"/>
      <c r="E28" s="5" t="n"/>
      <c r="F28" s="5" t="n"/>
      <c r="G28" s="6" t="n"/>
      <c r="H28" s="5" t="n"/>
      <c r="I28" s="5" t="n"/>
      <c r="J28" s="5" t="n"/>
      <c r="K28" s="5" t="n"/>
      <c r="L28" s="7">
        <f>IF(G28="","",EDATE(G28,12))</f>
        <v/>
      </c>
      <c r="M28" s="8">
        <f>IF(A28="","",IF(G28="","Not checked",IF(TODAY()&gt;L28,"Review due","OK")))</f>
        <v/>
      </c>
    </row>
    <row r="30">
      <c r="A30" s="9" t="inlineStr">
        <is>
          <t>Tools listed</t>
        </is>
      </c>
      <c r="E30" s="10">
        <f>COUNTA(A4:A28)</f>
        <v/>
      </c>
    </row>
    <row r="31">
      <c r="A31" s="9" t="inlineStr">
        <is>
          <t>Not checked yet</t>
        </is>
      </c>
      <c r="E31" s="10">
        <f>COUNTIF(M4:M28,"Not checked")</f>
        <v/>
      </c>
    </row>
    <row r="32">
      <c r="A32" s="9" t="inlineStr">
        <is>
          <t>Source-available or restricted</t>
        </is>
      </c>
      <c r="E32" s="10">
        <f>COUNTIF(E4:E28,"Source-available")+COUNTIF(E4:E28,"Restricted or commercial")</f>
        <v/>
      </c>
    </row>
    <row r="33">
      <c r="A33" s="9" t="inlineStr">
        <is>
          <t>Unknown licence</t>
        </is>
      </c>
      <c r="E33" s="10">
        <f>COUNTIF(E4:E28,"Unknown")</f>
        <v/>
      </c>
    </row>
  </sheetData>
  <dataValidations count="2">
    <dataValidation sqref="E4:E28" showDropDown="0" showInputMessage="0" showErrorMessage="0" allowBlank="1" type="list">
      <formula1>"Open source (permissive),Open source (copyleft),Source-available,Restricted or commercial,Unknown"</formula1>
    </dataValidation>
    <dataValidation sqref="I4:J28" showDropDown="0" showInputMessage="0" showErrorMessage="0" allowBlank="1" type="list">
      <formula1>"Y,N,Ask"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Kitara course build</dc:creator>
  <dcterms:created xmlns:dcterms="http://purl.org/dc/terms/" xmlns:xsi="http://www.w3.org/2001/XMLSchema-instance" xsi:type="dcterms:W3CDTF">2026-10-29T09:00:00Z</dcterms:created>
  <dcterms:modified xmlns:dcterms="http://purl.org/dc/terms/" xmlns:xsi="http://www.w3.org/2001/XMLSchema-instance" xsi:type="dcterms:W3CDTF">2026-10-29T09:00:00Z</dcterms:modified>
</cp:coreProperties>
</file>