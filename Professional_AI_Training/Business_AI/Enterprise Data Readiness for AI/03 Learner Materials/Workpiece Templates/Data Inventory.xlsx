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bottom" wrapText="1"/>
    </xf>
    <xf numFmtId="0" fontId="2" fillId="2" borderId="2" applyAlignment="1" pivotButton="0" quotePrefix="0" xfId="0">
      <alignment vertical="top" wrapText="1"/>
    </xf>
    <xf numFmtId="0" fontId="2" fillId="0" borderId="2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Inventory</t>
        </is>
      </c>
    </row>
    <row r="3">
      <c r="A3" s="2" t="inlineStr">
        <is>
          <t>List every data source. One row per source. Use the drop-downs where they exist.</t>
        </is>
      </c>
    </row>
    <row r="4">
      <c r="A4" s="2" t="inlineStr">
        <is>
          <t>A blank owner, steward or sensitivity cell is a finding. The Missing fields column counts the blanks in the key columns.</t>
        </is>
      </c>
    </row>
    <row r="5">
      <c r="A5" s="2" t="inlineStr">
        <is>
          <t>The summary under the table counts the gaps. Run it again after each review.</t>
        </is>
      </c>
    </row>
    <row r="6">
      <c r="A6" s="2" t="inlineStr">
        <is>
          <t>Owner is the role that answers for the data. Steward looks after quality day to day. Custodian (IT) runs the system.</t>
        </is>
      </c>
    </row>
    <row r="7"/>
    <row r="8">
      <c r="A8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4" customWidth="1" min="4" max="4"/>
    <col width="14" customWidth="1" min="5" max="5"/>
    <col width="11" customWidth="1" min="6" max="6"/>
    <col width="28" customWidth="1" min="7" max="7"/>
    <col width="26" customWidth="1" min="8" max="8"/>
    <col width="14" customWidth="1" min="9" max="9"/>
    <col width="13" customWidth="1" min="10" max="10"/>
    <col width="12" customWidth="1" min="11" max="11"/>
    <col width="16" customWidth="1" min="12" max="12"/>
    <col width="36" customWidth="1" min="13" max="13"/>
    <col width="36" customWidth="1" min="14" max="14"/>
    <col width="20" customWidth="1" min="15" max="15"/>
  </cols>
  <sheetData>
    <row r="1">
      <c r="A1" s="1" t="inlineStr">
        <is>
          <t>Data Inventory</t>
        </is>
      </c>
    </row>
    <row r="3">
      <c r="A3" s="4" t="inlineStr">
        <is>
          <t>source_id</t>
        </is>
      </c>
      <c r="B3" s="4" t="inlineStr">
        <is>
          <t>name</t>
        </is>
      </c>
      <c r="C3" s="4" t="inlineStr">
        <is>
          <t>system_type</t>
        </is>
      </c>
      <c r="D3" s="4" t="inlineStr">
        <is>
          <t>format</t>
        </is>
      </c>
      <c r="E3" s="4" t="inlineStr">
        <is>
          <t>approx_records</t>
        </is>
      </c>
      <c r="F3" s="4" t="inlineStr">
        <is>
          <t>refresh</t>
        </is>
      </c>
      <c r="G3" s="4" t="inlineStr">
        <is>
          <t>owner</t>
        </is>
      </c>
      <c r="H3" s="4" t="inlineStr">
        <is>
          <t>steward</t>
        </is>
      </c>
      <c r="I3" s="4" t="inlineStr">
        <is>
          <t>sensitivity</t>
        </is>
      </c>
      <c r="J3" s="4" t="inlineStr">
        <is>
          <t>personal_data</t>
        </is>
      </c>
      <c r="K3" s="4" t="inlineStr">
        <is>
          <t>in_catalogue</t>
        </is>
      </c>
      <c r="L3" s="4" t="inlineStr">
        <is>
          <t>last_quality_check</t>
        </is>
      </c>
      <c r="M3" s="4" t="inlineStr">
        <is>
          <t>ai_use_case_candidates</t>
        </is>
      </c>
      <c r="N3" s="4" t="inlineStr">
        <is>
          <t>notes</t>
        </is>
      </c>
      <c r="O3" s="4" t="inlineStr">
        <is>
          <t>Missing fields (owner, steward, sensitivity, personal data)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>
        <f>IF(A4="","",COUNTBLANK(G4:J4))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6">
        <f>IF(A5="","",COUNTBLANK(G5:J5))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>
        <f>IF(A6="","",COUNTBLANK(G6:J6))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6">
        <f>IF(A7="","",COUNTBLANK(G7:J7))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6">
        <f>IF(A8="","",COUNTBLANK(G8:J8))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>
        <f>IF(A9="","",COUNTBLANK(G9:J9))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6">
        <f>IF(A10="","",COUNTBLANK(G10:J10))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6">
        <f>IF(A11="","",COUNTBLANK(G11:J11))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6">
        <f>IF(A12="","",COUNTBLANK(G12:J12))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6">
        <f>IF(A13="","",COUNTBLANK(G13:J13))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6">
        <f>IF(A14="","",COUNTBLANK(G14:J14))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6">
        <f>IF(A15="","",COUNTBLANK(G15:J15))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6">
        <f>IF(A16="","",COUNTBLANK(G16:J16))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>
        <f>IF(A17="","",COUNTBLANK(G17:J17))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6">
        <f>IF(A18="","",COUNTBLANK(G18:J18))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>
        <f>IF(A19="","",COUNTBLANK(G19:J19))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6">
        <f>IF(A20="","",COUNTBLANK(G20:J20))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6">
        <f>IF(A21="","",COUNTBLANK(G21:J21))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6">
        <f>IF(A22="","",COUNTBLANK(G22:J22))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6">
        <f>IF(A23="","",COUNTBLANK(G23:J23))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6">
        <f>IF(A24="","",COUNTBLANK(G24:J24))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6">
        <f>IF(A25="","",COUNTBLANK(G25:J25))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6">
        <f>IF(A26="","",COUNTBLANK(G26:J26))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6">
        <f>IF(A27="","",COUNTBLANK(G27:J27))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>
        <f>IF(A28="","",COUNTBLANK(G28:J28))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>
        <f>IF(A29="","",COUNTBLANK(G29:J29))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6">
        <f>IF(A30="","",COUNTBLANK(G30:J30))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6">
        <f>IF(A31="","",COUNTBLANK(G31:J31))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>
        <f>IF(A32="","",COUNTBLANK(G32:J32))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>
        <f>IF(A33="","",COUNTBLANK(G33:J33))</f>
        <v/>
      </c>
    </row>
    <row r="35">
      <c r="A35" s="7" t="inlineStr">
        <is>
          <t>Summary</t>
        </is>
      </c>
    </row>
    <row r="36">
      <c r="A36" s="8" t="inlineStr">
        <is>
          <t>Sources listed</t>
        </is>
      </c>
      <c r="E36" s="8">
        <f>COUNTA(A4:A33)</f>
        <v/>
      </c>
    </row>
    <row r="37">
      <c r="A37" s="8" t="inlineStr">
        <is>
          <t>Sources with no owner</t>
        </is>
      </c>
      <c r="E37" s="8">
        <f>COUNTIFS(A4:A33,"&lt;&gt;",G4:G33,"")</f>
        <v/>
      </c>
    </row>
    <row r="38">
      <c r="A38" s="8" t="inlineStr">
        <is>
          <t>Sources with no steward</t>
        </is>
      </c>
      <c r="E38" s="8">
        <f>COUNTIFS(A4:A33,"&lt;&gt;",H4:H33,"")</f>
        <v/>
      </c>
    </row>
    <row r="39">
      <c r="A39" s="8" t="inlineStr">
        <is>
          <t>Sources with no sensitivity class</t>
        </is>
      </c>
      <c r="E39" s="8">
        <f>COUNTIFS(A4:A33,"&lt;&gt;",I4:I33,"")</f>
        <v/>
      </c>
    </row>
    <row r="40">
      <c r="A40" s="8" t="inlineStr">
        <is>
          <t>Sources with personal data not yet decided</t>
        </is>
      </c>
      <c r="E40" s="8">
        <f>COUNTIFS(A4:A33,"&lt;&gt;",J4:J33,"")</f>
        <v/>
      </c>
    </row>
    <row r="41">
      <c r="A41" s="8" t="inlineStr">
        <is>
          <t>Sources in a catalogue</t>
        </is>
      </c>
      <c r="E41" s="8">
        <f>COUNTIF(K4:K33,"Y")</f>
        <v/>
      </c>
    </row>
    <row r="42">
      <c r="A42" s="8" t="inlineStr">
        <is>
          <t>Sources with no quality check on record</t>
        </is>
      </c>
      <c r="E42" s="8">
        <f>COUNTIFS(A4:A33,"&lt;&gt;",L4:L33,"")</f>
        <v/>
      </c>
    </row>
  </sheetData>
  <dataValidations count="3">
    <dataValidation sqref="F4:F33" showDropDown="0" showInputMessage="0" showErrorMessage="0" allowBlank="1" type="list">
      <formula1>"daily,weekly,monthly,ad hoc,unknown"</formula1>
    </dataValidation>
    <dataValidation sqref="I4:I33" showDropDown="0" showInputMessage="0" showErrorMessage="0" allowBlank="1" type="list">
      <formula1>"public,internal,restricted,confidential"</formula1>
    </dataValidation>
    <dataValidation sqref="J4:K33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refresh</t>
        </is>
      </c>
      <c r="B1" s="7" t="inlineStr">
        <is>
          <t>sensitivity</t>
        </is>
      </c>
      <c r="C1" s="7" t="inlineStr">
        <is>
          <t>yn</t>
        </is>
      </c>
    </row>
    <row r="2">
      <c r="A2" s="8" t="inlineStr">
        <is>
          <t>daily</t>
        </is>
      </c>
      <c r="B2" s="8" t="inlineStr">
        <is>
          <t>public</t>
        </is>
      </c>
      <c r="C2" s="8" t="inlineStr">
        <is>
          <t>Y</t>
        </is>
      </c>
    </row>
    <row r="3">
      <c r="A3" s="8" t="inlineStr">
        <is>
          <t>weekly</t>
        </is>
      </c>
      <c r="B3" s="8" t="inlineStr">
        <is>
          <t>internal</t>
        </is>
      </c>
      <c r="C3" s="8" t="inlineStr">
        <is>
          <t>N</t>
        </is>
      </c>
    </row>
    <row r="4">
      <c r="A4" s="8" t="inlineStr">
        <is>
          <t>monthly</t>
        </is>
      </c>
      <c r="B4" s="8" t="inlineStr">
        <is>
          <t>restricted</t>
        </is>
      </c>
    </row>
    <row r="5">
      <c r="A5" s="8" t="inlineStr">
        <is>
          <t>ad hoc</t>
        </is>
      </c>
      <c r="B5" s="8" t="inlineStr">
        <is>
          <t>confidential</t>
        </is>
      </c>
    </row>
    <row r="6">
      <c r="A6" s="8" t="inlineStr">
        <is>
          <t>unknown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